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kore\OneDrive\바탕 화면\AntiTest\VibeProject\quotations\sample\"/>
    </mc:Choice>
  </mc:AlternateContent>
  <xr:revisionPtr revIDLastSave="0" documentId="13_ncr:1_{30637C8B-E293-4884-AA08-299DAE8885F0}" xr6:coauthVersionLast="41" xr6:coauthVersionMax="41" xr10:uidLastSave="{00000000-0000-0000-0000-000000000000}"/>
  <bookViews>
    <workbookView xWindow="-120" yWindow="-120" windowWidth="29040" windowHeight="15720" xr2:uid="{00000000-000D-0000-FFFF-FFFF00000000}"/>
  </bookViews>
  <sheets>
    <sheet name="견적서" sheetId="2" r:id="rId1"/>
  </sheets>
  <definedNames>
    <definedName name="_xlnm.Print_Area" localSheetId="0">견적서!$A$1:$L$43</definedName>
  </definedNames>
  <calcPr calcId="191029"/>
</workbook>
</file>

<file path=xl/calcChain.xml><?xml version="1.0" encoding="utf-8"?>
<calcChain xmlns="http://schemas.openxmlformats.org/spreadsheetml/2006/main">
  <c r="I23" i="2" l="1"/>
  <c r="E24" i="2" l="1"/>
  <c r="I24" i="2" s="1"/>
  <c r="I22" i="2" s="1"/>
  <c r="E27" i="2"/>
  <c r="I27" i="2" s="1"/>
  <c r="E21" i="2"/>
  <c r="I21" i="2" s="1"/>
  <c r="I16" i="2"/>
  <c r="I15" i="2"/>
  <c r="I18" i="2"/>
  <c r="I17" i="2"/>
  <c r="I26" i="2"/>
  <c r="I20" i="2"/>
  <c r="B11" i="2"/>
  <c r="I25" i="2" l="1"/>
  <c r="I19" i="2"/>
  <c r="I14" i="2"/>
  <c r="I40" i="2" l="1"/>
  <c r="I41" i="2" s="1"/>
  <c r="I42" i="2" s="1"/>
  <c r="I43" i="2" s="1"/>
  <c r="I11" i="2" s="1"/>
  <c r="B8" i="2" s="1"/>
  <c r="B7" i="2" s="1"/>
</calcChain>
</file>

<file path=xl/sharedStrings.xml><?xml version="1.0" encoding="utf-8"?>
<sst xmlns="http://schemas.openxmlformats.org/spreadsheetml/2006/main" count="81" uniqueCount="64">
  <si>
    <t xml:space="preserve">  견   적   서</t>
  </si>
  <si>
    <t>견적일 :</t>
  </si>
  <si>
    <t>206-82-12755</t>
  </si>
  <si>
    <t>대표자</t>
  </si>
  <si>
    <t>신  창  식</t>
  </si>
  <si>
    <t>귀하</t>
  </si>
  <si>
    <t xml:space="preserve"> 한국교육학술정보원</t>
  </si>
  <si>
    <t>상호</t>
  </si>
  <si>
    <t>아래와 같이 견적합니다.</t>
  </si>
  <si>
    <t>주소</t>
  </si>
  <si>
    <t xml:space="preserve">합계 : </t>
  </si>
  <si>
    <t>업   태</t>
  </si>
  <si>
    <t>제조/서비스</t>
  </si>
  <si>
    <t>종목</t>
  </si>
  <si>
    <t>인쇄/디자인</t>
  </si>
  <si>
    <t>표지</t>
  </si>
  <si>
    <t>내지</t>
  </si>
  <si>
    <t>TEL. 02-6948-9650 / FAX. 02-6948-9649</t>
  </si>
  <si>
    <t>제목</t>
  </si>
  <si>
    <t>K-에듀파인 회의 자료집 제작</t>
  </si>
  <si>
    <t>규격</t>
  </si>
  <si>
    <t>면수</t>
  </si>
  <si>
    <t>발주자</t>
  </si>
  <si>
    <t>수량</t>
  </si>
  <si>
    <t>하기 내용 참조</t>
  </si>
  <si>
    <t>금액</t>
  </si>
  <si>
    <t>내역</t>
  </si>
  <si>
    <t>단가</t>
  </si>
  <si>
    <t>비고</t>
  </si>
  <si>
    <t>제작</t>
  </si>
  <si>
    <t>기본 디자인</t>
  </si>
  <si>
    <t>식</t>
  </si>
  <si>
    <t>현수막</t>
  </si>
  <si>
    <t>부</t>
  </si>
  <si>
    <t>편집</t>
  </si>
  <si>
    <t>명패 제작</t>
  </si>
  <si>
    <t>계</t>
  </si>
  <si>
    <t>공급가</t>
  </si>
  <si>
    <t>부가세</t>
  </si>
  <si>
    <t>합   계</t>
  </si>
  <si>
    <t>책자</t>
    <phoneticPr fontId="18" type="noConversion"/>
  </si>
  <si>
    <t>하기 내용 참조</t>
    <phoneticPr fontId="18" type="noConversion"/>
  </si>
  <si>
    <t>A4</t>
    <phoneticPr fontId="18" type="noConversion"/>
  </si>
  <si>
    <t>표지 디자인</t>
    <phoneticPr fontId="18" type="noConversion"/>
  </si>
  <si>
    <t>부</t>
    <phoneticPr fontId="18" type="noConversion"/>
  </si>
  <si>
    <t>P</t>
    <phoneticPr fontId="18" type="noConversion"/>
  </si>
  <si>
    <t>컬러</t>
    <phoneticPr fontId="18" type="noConversion"/>
  </si>
  <si>
    <t>종이 삼각명패
(스노우180)</t>
    <phoneticPr fontId="18" type="noConversion"/>
  </si>
  <si>
    <t>4000x900mm</t>
    <phoneticPr fontId="18" type="noConversion"/>
  </si>
  <si>
    <t>현수막</t>
    <phoneticPr fontId="18" type="noConversion"/>
  </si>
  <si>
    <t>명패</t>
    <phoneticPr fontId="18" type="noConversion"/>
  </si>
  <si>
    <t>사업자
번    호</t>
    <phoneticPr fontId="18" type="noConversion"/>
  </si>
  <si>
    <t>하기
참조</t>
    <phoneticPr fontId="18" type="noConversion"/>
  </si>
  <si>
    <t>X배너</t>
    <phoneticPr fontId="18" type="noConversion"/>
  </si>
  <si>
    <t>600x1800mm</t>
    <phoneticPr fontId="18" type="noConversion"/>
  </si>
  <si>
    <t>배너</t>
    <phoneticPr fontId="18" type="noConversion"/>
  </si>
  <si>
    <t>거치대포함</t>
    <phoneticPr fontId="18" type="noConversion"/>
  </si>
  <si>
    <t>연락처</t>
    <phoneticPr fontId="18" type="noConversion"/>
  </si>
  <si>
    <t>공
급
자</t>
    <phoneticPr fontId="18" type="noConversion"/>
  </si>
  <si>
    <t>제본</t>
    <phoneticPr fontId="18" type="noConversion"/>
  </si>
  <si>
    <t>표지제작포함</t>
    <phoneticPr fontId="18" type="noConversion"/>
  </si>
  <si>
    <t>서울 성동구 뚝섬로1길 25, 한라에코벨리 702호</t>
    <phoneticPr fontId="18" type="noConversion"/>
  </si>
  <si>
    <t>사단법인 아름다운사람들</t>
    <phoneticPr fontId="18" type="noConversion"/>
  </si>
  <si>
    <t>무선제본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</si>
</sst>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176" formatCode="yyyy\.\ m\.\ d"/>
    <numFmt numFmtId="177" formatCode="[$₩-412]#,##0"/>
    <numFmt numFmtId="178" formatCode="#,##0\ &quot;컷&quot;\ &quot;기&quot;&quot;준&quot;"/>
    <numFmt numFmtId="179" formatCode="#,##0\ \P"/>
    <numFmt numFmtId="180" formatCode="#,##0&quot;부&quot;"/>
    <numFmt numFmtId="181" formatCode="#,##0\ &quot;부&quot;"/>
    <numFmt numFmtId="182" formatCode="#,##0&quot;P&quot;"/>
    <numFmt numFmtId="183" formatCode="#,##0\P"/>
  </numFmts>
  <fonts count="22">
    <font>
      <sz val="10"/>
      <color rgb="FF000000"/>
      <name val="Arial"/>
    </font>
    <font>
      <sz val="10"/>
      <name val="Arial"/>
      <family val="2"/>
    </font>
    <font>
      <sz val="11"/>
      <color rgb="FF000000"/>
      <name val="Malgun Gothic"/>
      <family val="3"/>
      <charset val="129"/>
    </font>
    <font>
      <sz val="22"/>
      <color rgb="FF000000"/>
      <name val="Malgun Gothic"/>
      <family val="3"/>
      <charset val="129"/>
    </font>
    <font>
      <b/>
      <sz val="21"/>
      <color rgb="FF000000"/>
      <name val="Malgun Gothic"/>
      <family val="3"/>
      <charset val="129"/>
    </font>
    <font>
      <b/>
      <sz val="22"/>
      <color rgb="FF000000"/>
      <name val="Malgun Gothic"/>
      <family val="3"/>
      <charset val="129"/>
    </font>
    <font>
      <b/>
      <sz val="25"/>
      <color rgb="FF000000"/>
      <name val="Malgun Gothic"/>
      <family val="3"/>
      <charset val="129"/>
    </font>
    <font>
      <sz val="25"/>
      <color rgb="FF000000"/>
      <name val="Malgun Gothic"/>
      <family val="3"/>
      <charset val="129"/>
    </font>
    <font>
      <b/>
      <sz val="11"/>
      <name val="&quot;Malgun Gothic&quot;"/>
    </font>
    <font>
      <sz val="11"/>
      <name val="&quot;Malgun Gothic&quot;"/>
    </font>
    <font>
      <b/>
      <sz val="12"/>
      <color rgb="FF000000"/>
      <name val="Malgun Gothic"/>
      <family val="3"/>
      <charset val="129"/>
    </font>
    <font>
      <sz val="11"/>
      <name val="Malgun Gothic"/>
      <family val="3"/>
      <charset val="129"/>
    </font>
    <font>
      <sz val="10"/>
      <name val="Arial"/>
      <family val="2"/>
    </font>
    <font>
      <b/>
      <sz val="11"/>
      <color rgb="FF000000"/>
      <name val="Malgun Gothic"/>
      <family val="3"/>
      <charset val="129"/>
    </font>
    <font>
      <b/>
      <sz val="11"/>
      <name val="Malgun Gothic"/>
      <family val="3"/>
      <charset val="129"/>
    </font>
    <font>
      <sz val="11"/>
      <name val="Arial"/>
      <family val="2"/>
    </font>
    <font>
      <b/>
      <sz val="10"/>
      <color rgb="FF000000"/>
      <name val="Malgun Gothic"/>
      <family val="3"/>
      <charset val="129"/>
    </font>
    <font>
      <sz val="10"/>
      <name val="Malgun Gothic"/>
      <family val="3"/>
      <charset val="129"/>
    </font>
    <font>
      <sz val="8"/>
      <name val="돋움"/>
      <family val="3"/>
      <charset val="129"/>
    </font>
    <font>
      <sz val="10"/>
      <name val="Arial Unicode MS"/>
      <family val="3"/>
      <charset val="129"/>
    </font>
    <font>
      <sz val="9"/>
      <name val="Malgun Gothic"/>
      <family val="3"/>
      <charset val="129"/>
    </font>
    <font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BDBDBD"/>
        <bgColor rgb="FFBDBDBD"/>
      </patternFill>
    </fill>
    <fill>
      <patternFill patternType="solid">
        <fgColor rgb="FFD9D9D9"/>
        <bgColor rgb="FFD9D9D9"/>
      </patternFill>
    </fill>
  </fills>
  <borders count="7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 style="medium">
        <color rgb="FF000000"/>
      </top>
      <bottom/>
      <diagonal/>
    </border>
    <border>
      <left/>
      <right style="thin">
        <color rgb="FFFFFFFF"/>
      </right>
      <top style="medium">
        <color rgb="FF000000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FFFFFF"/>
      </left>
      <right/>
      <top style="thin">
        <color rgb="FFFFFFFF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FFFFFF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FFFFFF"/>
      </right>
      <top style="thin">
        <color rgb="FFFFFFFF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FFFFFF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FFFFFF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000000"/>
      </top>
      <bottom/>
      <diagonal/>
    </border>
    <border>
      <left/>
      <right/>
      <top/>
      <bottom style="thin">
        <color rgb="FFCCCCCC"/>
      </bottom>
      <diagonal/>
    </border>
    <border>
      <left/>
      <right style="thin">
        <color rgb="FFFFFFFF"/>
      </right>
      <top/>
      <bottom style="thin">
        <color rgb="FFCCCCCC"/>
      </bottom>
      <diagonal/>
    </border>
    <border>
      <left/>
      <right style="thin">
        <color rgb="FFFFFFFF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FFFFFF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 style="medium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FFFFFF"/>
      </right>
      <top/>
      <bottom style="thin">
        <color rgb="FF000000"/>
      </bottom>
      <diagonal/>
    </border>
    <border>
      <left style="medium">
        <color rgb="FF000000"/>
      </left>
      <right style="thin">
        <color rgb="FFFFFFFF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FFFFFF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rgb="FFFFFFFF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FFFFFF"/>
      </right>
      <top style="thin">
        <color rgb="FF000000"/>
      </top>
      <bottom/>
      <diagonal/>
    </border>
    <border>
      <left style="thin">
        <color rgb="FFFFFFFF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7">
    <xf numFmtId="0" fontId="0" fillId="0" borderId="0" xfId="0" applyFont="1" applyAlignment="1"/>
    <xf numFmtId="0" fontId="2" fillId="0" borderId="3" xfId="0" applyFont="1" applyBorder="1" applyAlignment="1"/>
    <xf numFmtId="0" fontId="3" fillId="0" borderId="3" xfId="0" applyFont="1" applyBorder="1" applyAlignment="1"/>
    <xf numFmtId="0" fontId="3" fillId="0" borderId="6" xfId="0" applyFont="1" applyBorder="1" applyAlignment="1"/>
    <xf numFmtId="0" fontId="5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6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176" fontId="8" fillId="0" borderId="13" xfId="0" applyNumberFormat="1" applyFont="1" applyBorder="1" applyAlignment="1">
      <alignment vertical="center"/>
    </xf>
    <xf numFmtId="0" fontId="10" fillId="2" borderId="20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8" fillId="0" borderId="29" xfId="0" applyFont="1" applyBorder="1" applyAlignment="1">
      <alignment vertical="center"/>
    </xf>
    <xf numFmtId="0" fontId="11" fillId="2" borderId="31" xfId="0" applyFont="1" applyFill="1" applyBorder="1" applyAlignment="1">
      <alignment horizontal="center" vertical="center"/>
    </xf>
    <xf numFmtId="0" fontId="2" fillId="2" borderId="31" xfId="0" applyFont="1" applyFill="1" applyBorder="1" applyAlignment="1">
      <alignment horizontal="center" vertical="center"/>
    </xf>
    <xf numFmtId="0" fontId="11" fillId="3" borderId="40" xfId="0" applyFont="1" applyFill="1" applyBorder="1" applyAlignment="1">
      <alignment horizontal="center" vertical="center"/>
    </xf>
    <xf numFmtId="0" fontId="8" fillId="2" borderId="24" xfId="0" applyFont="1" applyFill="1" applyBorder="1" applyAlignment="1">
      <alignment vertical="center"/>
    </xf>
    <xf numFmtId="0" fontId="2" fillId="0" borderId="10" xfId="0" applyFont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11" fillId="0" borderId="10" xfId="0" applyFont="1" applyBorder="1" applyAlignment="1">
      <alignment horizontal="center" vertical="center"/>
    </xf>
    <xf numFmtId="0" fontId="13" fillId="5" borderId="44" xfId="0" applyFont="1" applyFill="1" applyBorder="1" applyAlignment="1">
      <alignment horizontal="center" vertical="center"/>
    </xf>
    <xf numFmtId="0" fontId="13" fillId="5" borderId="22" xfId="0" applyFont="1" applyFill="1" applyBorder="1" applyAlignment="1">
      <alignment horizontal="center" vertical="center"/>
    </xf>
    <xf numFmtId="0" fontId="14" fillId="5" borderId="22" xfId="0" applyFont="1" applyFill="1" applyBorder="1" applyAlignment="1">
      <alignment horizontal="center" vertical="center"/>
    </xf>
    <xf numFmtId="178" fontId="11" fillId="0" borderId="23" xfId="0" applyNumberFormat="1" applyFont="1" applyBorder="1" applyAlignment="1">
      <alignment horizontal="center" vertical="center" wrapText="1"/>
    </xf>
    <xf numFmtId="179" fontId="11" fillId="0" borderId="32" xfId="0" applyNumberFormat="1" applyFont="1" applyBorder="1" applyAlignment="1">
      <alignment horizontal="center" vertical="center" wrapText="1"/>
    </xf>
    <xf numFmtId="179" fontId="11" fillId="0" borderId="28" xfId="0" applyNumberFormat="1" applyFont="1" applyBorder="1" applyAlignment="1">
      <alignment horizontal="center" vertical="center" wrapText="1"/>
    </xf>
    <xf numFmtId="0" fontId="13" fillId="5" borderId="39" xfId="0" applyFont="1" applyFill="1" applyBorder="1" applyAlignment="1">
      <alignment horizontal="center" vertical="center"/>
    </xf>
    <xf numFmtId="0" fontId="13" fillId="5" borderId="40" xfId="0" applyFont="1" applyFill="1" applyBorder="1" applyAlignment="1">
      <alignment horizontal="center" vertical="center"/>
    </xf>
    <xf numFmtId="0" fontId="14" fillId="5" borderId="40" xfId="0" applyFont="1" applyFill="1" applyBorder="1" applyAlignment="1">
      <alignment horizontal="center" vertical="center"/>
    </xf>
    <xf numFmtId="3" fontId="2" fillId="2" borderId="29" xfId="0" applyNumberFormat="1" applyFont="1" applyFill="1" applyBorder="1" applyAlignment="1">
      <alignment horizontal="left" vertical="center"/>
    </xf>
    <xf numFmtId="3" fontId="2" fillId="2" borderId="58" xfId="0" applyNumberFormat="1" applyFont="1" applyFill="1" applyBorder="1" applyAlignment="1">
      <alignment horizontal="left" vertical="center"/>
    </xf>
    <xf numFmtId="3" fontId="2" fillId="2" borderId="24" xfId="0" applyNumberFormat="1" applyFont="1" applyFill="1" applyBorder="1" applyAlignment="1">
      <alignment horizontal="left" vertical="center"/>
    </xf>
    <xf numFmtId="3" fontId="2" fillId="2" borderId="27" xfId="0" applyNumberFormat="1" applyFont="1" applyFill="1" applyBorder="1" applyAlignment="1">
      <alignment horizontal="right" vertical="center"/>
    </xf>
    <xf numFmtId="0" fontId="2" fillId="2" borderId="58" xfId="0" applyFont="1" applyFill="1" applyBorder="1" applyAlignment="1">
      <alignment horizontal="left" vertical="center"/>
    </xf>
    <xf numFmtId="183" fontId="2" fillId="2" borderId="27" xfId="0" applyNumberFormat="1" applyFont="1" applyFill="1" applyBorder="1" applyAlignment="1">
      <alignment horizontal="center" vertical="center"/>
    </xf>
    <xf numFmtId="180" fontId="2" fillId="2" borderId="58" xfId="0" applyNumberFormat="1" applyFont="1" applyFill="1" applyBorder="1" applyAlignment="1">
      <alignment horizontal="center" vertical="center"/>
    </xf>
    <xf numFmtId="0" fontId="13" fillId="2" borderId="68" xfId="0" applyFont="1" applyFill="1" applyBorder="1" applyAlignment="1">
      <alignment vertical="center"/>
    </xf>
    <xf numFmtId="0" fontId="13" fillId="2" borderId="68" xfId="0" applyFont="1" applyFill="1" applyBorder="1" applyAlignment="1">
      <alignment vertical="center"/>
    </xf>
    <xf numFmtId="0" fontId="11" fillId="2" borderId="68" xfId="0" applyFont="1" applyFill="1" applyBorder="1" applyAlignment="1">
      <alignment vertical="center"/>
    </xf>
    <xf numFmtId="0" fontId="11" fillId="2" borderId="25" xfId="0" applyFont="1" applyFill="1" applyBorder="1" applyAlignment="1">
      <alignment vertical="center"/>
    </xf>
    <xf numFmtId="0" fontId="2" fillId="2" borderId="59" xfId="0" applyFont="1" applyFill="1" applyBorder="1" applyAlignment="1">
      <alignment vertical="center"/>
    </xf>
    <xf numFmtId="0" fontId="13" fillId="2" borderId="66" xfId="0" applyFont="1" applyFill="1" applyBorder="1" applyAlignment="1">
      <alignment vertical="center"/>
    </xf>
    <xf numFmtId="0" fontId="17" fillId="0" borderId="0" xfId="0" applyFont="1" applyAlignment="1"/>
    <xf numFmtId="0" fontId="17" fillId="0" borderId="0" xfId="0" applyFont="1"/>
    <xf numFmtId="3" fontId="2" fillId="2" borderId="38" xfId="0" applyNumberFormat="1" applyFont="1" applyFill="1" applyBorder="1" applyAlignment="1">
      <alignment horizontal="left" vertical="center"/>
    </xf>
    <xf numFmtId="3" fontId="2" fillId="2" borderId="10" xfId="0" applyNumberFormat="1" applyFont="1" applyFill="1" applyBorder="1" applyAlignment="1">
      <alignment horizontal="left" vertical="center"/>
    </xf>
    <xf numFmtId="3" fontId="2" fillId="2" borderId="70" xfId="0" applyNumberFormat="1" applyFont="1" applyFill="1" applyBorder="1" applyAlignment="1">
      <alignment horizontal="left" vertical="center"/>
    </xf>
    <xf numFmtId="3" fontId="2" fillId="2" borderId="0" xfId="0" applyNumberFormat="1" applyFont="1" applyFill="1" applyBorder="1" applyAlignment="1">
      <alignment horizontal="right" vertical="center"/>
    </xf>
    <xf numFmtId="0" fontId="2" fillId="2" borderId="70" xfId="0" applyFont="1" applyFill="1" applyBorder="1" applyAlignment="1">
      <alignment horizontal="left" vertical="center"/>
    </xf>
    <xf numFmtId="0" fontId="1" fillId="0" borderId="52" xfId="0" applyFont="1" applyBorder="1" applyAlignment="1">
      <alignment vertical="center"/>
    </xf>
    <xf numFmtId="180" fontId="1" fillId="0" borderId="52" xfId="0" applyNumberFormat="1" applyFont="1" applyBorder="1" applyAlignment="1">
      <alignment horizontal="center" vertical="center"/>
    </xf>
    <xf numFmtId="182" fontId="1" fillId="0" borderId="54" xfId="0" applyNumberFormat="1" applyFont="1" applyBorder="1" applyAlignment="1">
      <alignment horizontal="center" vertical="center"/>
    </xf>
    <xf numFmtId="0" fontId="19" fillId="0" borderId="54" xfId="0" applyFont="1" applyBorder="1" applyAlignment="1">
      <alignment vertical="center"/>
    </xf>
    <xf numFmtId="3" fontId="1" fillId="0" borderId="52" xfId="0" applyNumberFormat="1" applyFont="1" applyBorder="1" applyAlignment="1">
      <alignment vertical="center"/>
    </xf>
    <xf numFmtId="0" fontId="11" fillId="2" borderId="22" xfId="0" applyFont="1" applyFill="1" applyBorder="1" applyAlignment="1">
      <alignment horizontal="center" vertical="center" wrapText="1"/>
    </xf>
    <xf numFmtId="0" fontId="1" fillId="0" borderId="34" xfId="0" applyFont="1" applyBorder="1"/>
    <xf numFmtId="0" fontId="1" fillId="0" borderId="2" xfId="0" applyFont="1" applyBorder="1"/>
    <xf numFmtId="3" fontId="2" fillId="2" borderId="27" xfId="0" applyNumberFormat="1" applyFont="1" applyFill="1" applyBorder="1" applyAlignment="1">
      <alignment horizontal="right" vertical="center"/>
    </xf>
    <xf numFmtId="0" fontId="11" fillId="2" borderId="1" xfId="0" applyFont="1" applyFill="1" applyBorder="1" applyAlignment="1">
      <alignment horizontal="center" vertical="center" wrapText="1"/>
    </xf>
    <xf numFmtId="3" fontId="2" fillId="2" borderId="33" xfId="0" applyNumberFormat="1" applyFont="1" applyFill="1" applyBorder="1" applyAlignment="1">
      <alignment horizontal="right" vertical="center"/>
    </xf>
    <xf numFmtId="0" fontId="1" fillId="0" borderId="27" xfId="0" applyFont="1" applyBorder="1"/>
    <xf numFmtId="0" fontId="1" fillId="0" borderId="71" xfId="0" applyFont="1" applyBorder="1"/>
    <xf numFmtId="0" fontId="2" fillId="2" borderId="27" xfId="0" applyFont="1" applyFill="1" applyBorder="1" applyAlignment="1">
      <alignment horizontal="left" vertical="center"/>
    </xf>
    <xf numFmtId="3" fontId="2" fillId="2" borderId="27" xfId="0" applyNumberFormat="1" applyFont="1" applyFill="1" applyBorder="1" applyAlignment="1">
      <alignment horizontal="center" vertical="center"/>
    </xf>
    <xf numFmtId="0" fontId="1" fillId="0" borderId="34" xfId="0" applyFont="1" applyBorder="1"/>
    <xf numFmtId="0" fontId="1" fillId="0" borderId="2" xfId="0" applyFont="1" applyBorder="1"/>
    <xf numFmtId="3" fontId="2" fillId="2" borderId="33" xfId="0" applyNumberFormat="1" applyFont="1" applyFill="1" applyBorder="1" applyAlignment="1">
      <alignment horizontal="right" vertical="center"/>
    </xf>
    <xf numFmtId="0" fontId="1" fillId="0" borderId="27" xfId="0" applyFont="1" applyBorder="1"/>
    <xf numFmtId="3" fontId="2" fillId="2" borderId="33" xfId="0" applyNumberFormat="1" applyFont="1" applyFill="1" applyBorder="1" applyAlignment="1">
      <alignment horizontal="right" vertical="center"/>
    </xf>
    <xf numFmtId="0" fontId="17" fillId="2" borderId="15" xfId="0" applyFont="1" applyFill="1" applyBorder="1" applyAlignment="1">
      <alignment horizontal="center" vertical="center"/>
    </xf>
    <xf numFmtId="0" fontId="12" fillId="0" borderId="67" xfId="0" applyFont="1" applyBorder="1"/>
    <xf numFmtId="3" fontId="2" fillId="2" borderId="17" xfId="0" applyNumberFormat="1" applyFont="1" applyFill="1" applyBorder="1" applyAlignment="1">
      <alignment horizontal="right" vertical="center"/>
    </xf>
    <xf numFmtId="0" fontId="1" fillId="0" borderId="19" xfId="0" applyFont="1" applyBorder="1"/>
    <xf numFmtId="3" fontId="2" fillId="2" borderId="15" xfId="0" applyNumberFormat="1" applyFont="1" applyFill="1" applyBorder="1" applyAlignment="1">
      <alignment horizontal="center" vertical="center"/>
    </xf>
    <xf numFmtId="0" fontId="13" fillId="2" borderId="47" xfId="0" applyFont="1" applyFill="1" applyBorder="1" applyAlignment="1">
      <alignment horizontal="center" vertical="center"/>
    </xf>
    <xf numFmtId="0" fontId="1" fillId="0" borderId="48" xfId="0" applyFont="1" applyBorder="1"/>
    <xf numFmtId="0" fontId="13" fillId="2" borderId="49" xfId="0" applyFont="1" applyFill="1" applyBorder="1" applyAlignment="1">
      <alignment horizontal="center" vertical="center"/>
    </xf>
    <xf numFmtId="0" fontId="13" fillId="2" borderId="63" xfId="0" applyFont="1" applyFill="1" applyBorder="1" applyAlignment="1">
      <alignment horizontal="center" vertical="center"/>
    </xf>
    <xf numFmtId="0" fontId="1" fillId="0" borderId="33" xfId="0" applyFont="1" applyBorder="1"/>
    <xf numFmtId="0" fontId="1" fillId="0" borderId="2" xfId="0" applyFont="1" applyBorder="1"/>
    <xf numFmtId="0" fontId="13" fillId="2" borderId="53" xfId="0" applyFont="1" applyFill="1" applyBorder="1" applyAlignment="1">
      <alignment horizontal="center" vertical="center"/>
    </xf>
    <xf numFmtId="0" fontId="1" fillId="0" borderId="32" xfId="0" applyFont="1" applyBorder="1"/>
    <xf numFmtId="0" fontId="1" fillId="0" borderId="25" xfId="0" applyFont="1" applyBorder="1"/>
    <xf numFmtId="0" fontId="15" fillId="0" borderId="30" xfId="0" applyFont="1" applyBorder="1" applyAlignment="1">
      <alignment horizontal="center" vertical="center"/>
    </xf>
    <xf numFmtId="0" fontId="1" fillId="0" borderId="60" xfId="0" applyFont="1" applyBorder="1"/>
    <xf numFmtId="0" fontId="1" fillId="0" borderId="30" xfId="0" applyFont="1" applyBorder="1"/>
    <xf numFmtId="3" fontId="13" fillId="2" borderId="51" xfId="0" applyNumberFormat="1" applyFont="1" applyFill="1" applyBorder="1" applyAlignment="1">
      <alignment horizontal="left" vertical="center"/>
    </xf>
    <xf numFmtId="3" fontId="13" fillId="2" borderId="52" xfId="0" applyNumberFormat="1" applyFont="1" applyFill="1" applyBorder="1" applyAlignment="1">
      <alignment horizontal="left" vertical="center"/>
    </xf>
    <xf numFmtId="0" fontId="1" fillId="0" borderId="50" xfId="0" applyFont="1" applyBorder="1"/>
    <xf numFmtId="0" fontId="11" fillId="2" borderId="1" xfId="0" applyFont="1" applyFill="1" applyBorder="1" applyAlignment="1">
      <alignment horizontal="center" vertical="center"/>
    </xf>
    <xf numFmtId="0" fontId="1" fillId="0" borderId="34" xfId="0" applyFont="1" applyBorder="1"/>
    <xf numFmtId="3" fontId="2" fillId="2" borderId="33" xfId="0" applyNumberFormat="1" applyFont="1" applyFill="1" applyBorder="1" applyAlignment="1">
      <alignment horizontal="right" vertical="center"/>
    </xf>
    <xf numFmtId="177" fontId="14" fillId="2" borderId="41" xfId="0" applyNumberFormat="1" applyFont="1" applyFill="1" applyBorder="1" applyAlignment="1">
      <alignment horizontal="center" vertical="center"/>
    </xf>
    <xf numFmtId="0" fontId="1" fillId="0" borderId="42" xfId="0" applyFont="1" applyBorder="1"/>
    <xf numFmtId="0" fontId="1" fillId="0" borderId="43" xfId="0" applyFont="1" applyBorder="1"/>
    <xf numFmtId="0" fontId="11" fillId="2" borderId="55" xfId="0" applyFont="1" applyFill="1" applyBorder="1" applyAlignment="1">
      <alignment horizontal="center" vertical="center"/>
    </xf>
    <xf numFmtId="0" fontId="1" fillId="0" borderId="57" xfId="0" applyFont="1" applyBorder="1" applyAlignment="1">
      <alignment vertical="center"/>
    </xf>
    <xf numFmtId="3" fontId="13" fillId="2" borderId="55" xfId="0" applyNumberFormat="1" applyFont="1" applyFill="1" applyBorder="1" applyAlignment="1">
      <alignment horizontal="right" vertical="center"/>
    </xf>
    <xf numFmtId="0" fontId="1" fillId="0" borderId="56" xfId="0" applyFont="1" applyBorder="1" applyAlignment="1">
      <alignment vertical="center"/>
    </xf>
    <xf numFmtId="3" fontId="2" fillId="2" borderId="1" xfId="0" applyNumberFormat="1" applyFont="1" applyFill="1" applyBorder="1" applyAlignment="1">
      <alignment horizontal="center" vertical="center"/>
    </xf>
    <xf numFmtId="0" fontId="9" fillId="0" borderId="26" xfId="0" applyFont="1" applyBorder="1" applyAlignment="1">
      <alignment vertical="center"/>
    </xf>
    <xf numFmtId="0" fontId="1" fillId="0" borderId="27" xfId="0" applyFont="1" applyBorder="1"/>
    <xf numFmtId="0" fontId="1" fillId="0" borderId="29" xfId="0" applyFont="1" applyBorder="1"/>
    <xf numFmtId="0" fontId="9" fillId="2" borderId="36" xfId="0" applyFont="1" applyFill="1" applyBorder="1" applyAlignment="1">
      <alignment vertical="center"/>
    </xf>
    <xf numFmtId="0" fontId="1" fillId="0" borderId="36" xfId="0" applyFont="1" applyBorder="1"/>
    <xf numFmtId="0" fontId="1" fillId="0" borderId="37" xfId="0" applyFont="1" applyBorder="1"/>
    <xf numFmtId="0" fontId="2" fillId="0" borderId="23" xfId="0" applyFont="1" applyBorder="1" applyAlignment="1">
      <alignment horizontal="center" vertical="center" wrapText="1"/>
    </xf>
    <xf numFmtId="0" fontId="16" fillId="0" borderId="23" xfId="0" applyFont="1" applyBorder="1" applyAlignment="1">
      <alignment horizontal="center" vertical="center" wrapText="1"/>
    </xf>
    <xf numFmtId="0" fontId="12" fillId="0" borderId="32" xfId="0" applyFont="1" applyBorder="1"/>
    <xf numFmtId="0" fontId="2" fillId="2" borderId="41" xfId="0" applyFont="1" applyFill="1" applyBorder="1" applyAlignment="1">
      <alignment horizontal="center" vertical="center"/>
    </xf>
    <xf numFmtId="181" fontId="16" fillId="0" borderId="41" xfId="0" applyNumberFormat="1" applyFont="1" applyBorder="1" applyAlignment="1">
      <alignment horizontal="center" vertical="center" wrapText="1"/>
    </xf>
    <xf numFmtId="0" fontId="12" fillId="0" borderId="42" xfId="0" applyFont="1" applyBorder="1" applyAlignment="1">
      <alignment wrapText="1"/>
    </xf>
    <xf numFmtId="0" fontId="2" fillId="2" borderId="1" xfId="0" applyFont="1" applyFill="1" applyBorder="1" applyAlignment="1">
      <alignment horizontal="center" vertical="center"/>
    </xf>
    <xf numFmtId="0" fontId="1" fillId="2" borderId="2" xfId="0" applyFont="1" applyFill="1" applyBorder="1"/>
    <xf numFmtId="0" fontId="13" fillId="2" borderId="46" xfId="0" applyFont="1" applyFill="1" applyBorder="1" applyAlignment="1">
      <alignment horizontal="center" vertical="center"/>
    </xf>
    <xf numFmtId="0" fontId="1" fillId="0" borderId="47" xfId="0" applyFont="1" applyBorder="1"/>
    <xf numFmtId="0" fontId="15" fillId="0" borderId="62" xfId="0" applyFont="1" applyBorder="1" applyAlignment="1">
      <alignment horizontal="center" vertical="center"/>
    </xf>
    <xf numFmtId="0" fontId="1" fillId="0" borderId="61" xfId="0" applyFont="1" applyBorder="1"/>
    <xf numFmtId="0" fontId="12" fillId="0" borderId="52" xfId="0" applyFont="1" applyBorder="1" applyAlignment="1">
      <alignment horizontal="center" vertical="center"/>
    </xf>
    <xf numFmtId="0" fontId="1" fillId="0" borderId="52" xfId="0" applyFont="1" applyBorder="1" applyAlignment="1">
      <alignment horizontal="center" vertical="center"/>
    </xf>
    <xf numFmtId="0" fontId="15" fillId="0" borderId="69" xfId="0" applyFont="1" applyBorder="1" applyAlignment="1">
      <alignment horizontal="center" vertical="center"/>
    </xf>
    <xf numFmtId="0" fontId="15" fillId="0" borderId="61" xfId="0" applyFont="1" applyBorder="1" applyAlignment="1">
      <alignment horizontal="center" vertical="center"/>
    </xf>
    <xf numFmtId="0" fontId="1" fillId="2" borderId="33" xfId="0" applyFont="1" applyFill="1" applyBorder="1"/>
    <xf numFmtId="0" fontId="1" fillId="2" borderId="34" xfId="0" applyFont="1" applyFill="1" applyBorder="1"/>
    <xf numFmtId="0" fontId="1" fillId="3" borderId="33" xfId="0" applyFont="1" applyFill="1" applyBorder="1"/>
    <xf numFmtId="0" fontId="1" fillId="3" borderId="34" xfId="0" applyFont="1" applyFill="1" applyBorder="1"/>
    <xf numFmtId="177" fontId="8" fillId="2" borderId="27" xfId="0" applyNumberFormat="1" applyFont="1" applyFill="1" applyBorder="1" applyAlignment="1">
      <alignment horizontal="left" vertical="center"/>
    </xf>
    <xf numFmtId="0" fontId="1" fillId="3" borderId="42" xfId="0" applyFont="1" applyFill="1" applyBorder="1"/>
    <xf numFmtId="0" fontId="1" fillId="3" borderId="43" xfId="0" applyFont="1" applyFill="1" applyBorder="1"/>
    <xf numFmtId="0" fontId="4" fillId="0" borderId="4" xfId="0" applyFont="1" applyBorder="1" applyAlignment="1">
      <alignment horizontal="center"/>
    </xf>
    <xf numFmtId="0" fontId="1" fillId="0" borderId="4" xfId="0" applyFont="1" applyBorder="1"/>
    <xf numFmtId="0" fontId="1" fillId="0" borderId="5" xfId="0" applyFont="1" applyBorder="1"/>
    <xf numFmtId="0" fontId="1" fillId="0" borderId="7" xfId="0" applyFont="1" applyBorder="1"/>
    <xf numFmtId="0" fontId="1" fillId="0" borderId="8" xfId="0" applyFont="1" applyBorder="1"/>
    <xf numFmtId="176" fontId="9" fillId="2" borderId="14" xfId="0" applyNumberFormat="1" applyFont="1" applyFill="1" applyBorder="1" applyAlignment="1">
      <alignment horizontal="center" vertical="center"/>
    </xf>
    <xf numFmtId="0" fontId="1" fillId="0" borderId="16" xfId="0" applyFont="1" applyBorder="1"/>
    <xf numFmtId="0" fontId="1" fillId="0" borderId="18" xfId="0" applyFont="1" applyBorder="1"/>
    <xf numFmtId="0" fontId="10" fillId="2" borderId="21" xfId="0" applyFont="1" applyFill="1" applyBorder="1" applyAlignment="1">
      <alignment horizontal="center" vertical="center" wrapText="1"/>
    </xf>
    <xf numFmtId="0" fontId="1" fillId="2" borderId="30" xfId="0" applyFont="1" applyFill="1" applyBorder="1"/>
    <xf numFmtId="0" fontId="1" fillId="3" borderId="30" xfId="0" applyFont="1" applyFill="1" applyBorder="1"/>
    <xf numFmtId="0" fontId="1" fillId="3" borderId="39" xfId="0" applyFont="1" applyFill="1" applyBorder="1"/>
    <xf numFmtId="0" fontId="11" fillId="2" borderId="23" xfId="0" applyFont="1" applyFill="1" applyBorder="1" applyAlignment="1">
      <alignment horizontal="center" vertical="center"/>
    </xf>
    <xf numFmtId="0" fontId="1" fillId="4" borderId="25" xfId="0" applyFont="1" applyFill="1" applyBorder="1"/>
    <xf numFmtId="0" fontId="11" fillId="2" borderId="23" xfId="0" applyFont="1" applyFill="1" applyBorder="1" applyAlignment="1">
      <alignment horizontal="left" vertical="center"/>
    </xf>
    <xf numFmtId="0" fontId="1" fillId="4" borderId="28" xfId="0" applyFont="1" applyFill="1" applyBorder="1"/>
    <xf numFmtId="0" fontId="8" fillId="0" borderId="26" xfId="0" applyFont="1" applyBorder="1" applyAlignment="1">
      <alignment vertical="center"/>
    </xf>
    <xf numFmtId="0" fontId="8" fillId="2" borderId="35" xfId="0" applyFont="1" applyFill="1" applyBorder="1" applyAlignment="1">
      <alignment vertical="center"/>
    </xf>
    <xf numFmtId="0" fontId="1" fillId="0" borderId="24" xfId="0" applyFont="1" applyBorder="1"/>
    <xf numFmtId="0" fontId="11" fillId="2" borderId="42" xfId="0" applyFont="1" applyFill="1" applyBorder="1" applyAlignment="1">
      <alignment vertical="center"/>
    </xf>
    <xf numFmtId="0" fontId="1" fillId="0" borderId="65" xfId="0" applyFont="1" applyBorder="1"/>
    <xf numFmtId="3" fontId="14" fillId="2" borderId="42" xfId="0" applyNumberFormat="1" applyFont="1" applyFill="1" applyBorder="1" applyAlignment="1">
      <alignment vertical="center"/>
    </xf>
    <xf numFmtId="0" fontId="11" fillId="2" borderId="41" xfId="0" applyFont="1" applyFill="1" applyBorder="1" applyAlignment="1">
      <alignment vertical="center"/>
    </xf>
    <xf numFmtId="0" fontId="17" fillId="0" borderId="45" xfId="0" applyFont="1" applyBorder="1" applyAlignment="1"/>
    <xf numFmtId="3" fontId="14" fillId="2" borderId="32" xfId="0" applyNumberFormat="1" applyFont="1" applyFill="1" applyBorder="1" applyAlignment="1">
      <alignment vertical="center"/>
    </xf>
    <xf numFmtId="0" fontId="11" fillId="2" borderId="23" xfId="0" applyFont="1" applyFill="1" applyBorder="1" applyAlignment="1">
      <alignment vertical="center"/>
    </xf>
    <xf numFmtId="0" fontId="1" fillId="0" borderId="28" xfId="0" applyFont="1" applyBorder="1"/>
    <xf numFmtId="0" fontId="11" fillId="2" borderId="33" xfId="0" applyFont="1" applyFill="1" applyBorder="1" applyAlignment="1">
      <alignment vertical="center"/>
    </xf>
    <xf numFmtId="3" fontId="11" fillId="2" borderId="33" xfId="0" applyNumberFormat="1" applyFont="1" applyFill="1" applyBorder="1" applyAlignment="1">
      <alignment vertical="center"/>
    </xf>
    <xf numFmtId="0" fontId="11" fillId="2" borderId="1" xfId="0" applyFont="1" applyFill="1" applyBorder="1" applyAlignment="1">
      <alignment vertical="center"/>
    </xf>
    <xf numFmtId="0" fontId="2" fillId="2" borderId="63" xfId="0" applyFont="1" applyFill="1" applyBorder="1" applyAlignment="1">
      <alignment horizontal="center" vertical="center"/>
    </xf>
    <xf numFmtId="0" fontId="13" fillId="2" borderId="64" xfId="0" applyFont="1" applyFill="1" applyBorder="1" applyAlignment="1">
      <alignment horizontal="center" vertical="center"/>
    </xf>
    <xf numFmtId="0" fontId="11" fillId="2" borderId="15" xfId="0" applyFont="1" applyFill="1" applyBorder="1" applyAlignment="1">
      <alignment horizontal="center" vertical="center"/>
    </xf>
    <xf numFmtId="0" fontId="1" fillId="0" borderId="67" xfId="0" applyFont="1" applyBorder="1"/>
    <xf numFmtId="0" fontId="16" fillId="2" borderId="33" xfId="0" applyFont="1" applyFill="1" applyBorder="1" applyAlignment="1">
      <alignment horizontal="center" vertical="center"/>
    </xf>
    <xf numFmtId="3" fontId="13" fillId="2" borderId="1" xfId="0" applyNumberFormat="1" applyFont="1" applyFill="1" applyBorder="1" applyAlignment="1">
      <alignment horizontal="right" vertical="center"/>
    </xf>
    <xf numFmtId="0" fontId="20" fillId="2" borderId="1" xfId="0" applyFont="1" applyFill="1" applyBorder="1" applyAlignment="1">
      <alignment horizontal="center" vertical="center" wrapText="1"/>
    </xf>
    <xf numFmtId="0" fontId="21" fillId="0" borderId="34" xfId="0" applyFont="1" applyBorder="1"/>
    <xf numFmtId="0" fontId="1" fillId="0" borderId="57" xfId="0" applyFont="1" applyBorder="1"/>
    <xf numFmtId="0" fontId="1" fillId="0" borderId="56" xfId="0" applyFont="1" applyBorder="1"/>
    <xf numFmtId="0" fontId="15" fillId="0" borderId="72" xfId="0" applyFont="1" applyBorder="1" applyAlignment="1">
      <alignment horizontal="center" vertical="center"/>
    </xf>
    <xf numFmtId="3" fontId="2" fillId="2" borderId="59" xfId="0" applyNumberFormat="1" applyFont="1" applyFill="1" applyBorder="1" applyAlignment="1">
      <alignment horizontal="left" vertical="center"/>
    </xf>
    <xf numFmtId="3" fontId="2" fillId="2" borderId="73" xfId="0" applyNumberFormat="1" applyFont="1" applyFill="1" applyBorder="1" applyAlignment="1">
      <alignment horizontal="left" vertical="center"/>
    </xf>
    <xf numFmtId="3" fontId="2" fillId="2" borderId="74" xfId="0" applyNumberFormat="1" applyFont="1" applyFill="1" applyBorder="1" applyAlignment="1">
      <alignment horizontal="left" vertical="center"/>
    </xf>
    <xf numFmtId="0" fontId="2" fillId="2" borderId="74" xfId="0" applyFont="1" applyFill="1" applyBorder="1" applyAlignment="1">
      <alignment horizontal="left" vertical="center"/>
    </xf>
  </cellXfs>
  <cellStyles count="1">
    <cellStyle name="표준" xfId="0" builtinId="0"/>
  </cellStyles>
  <dxfs count="2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</dxfs>
  <tableStyles count="1">
    <tableStyle name="타견적01-style" pivot="0" count="2" xr9:uid="{00000000-0011-0000-FFFF-FFFF00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657225</xdr:colOff>
      <xdr:row>2</xdr:row>
      <xdr:rowOff>161925</xdr:rowOff>
    </xdr:from>
    <xdr:ext cx="609600" cy="619125"/>
    <xdr:pic>
      <xdr:nvPicPr>
        <xdr:cNvPr id="2" name="image1.png" title="이미지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362700" y="914400"/>
          <a:ext cx="609600" cy="619125"/>
        </a:xfrm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outlinePr summaryBelow="0" summaryRight="0"/>
    <pageSetUpPr fitToPage="1"/>
  </sheetPr>
  <dimension ref="A1:L994"/>
  <sheetViews>
    <sheetView tabSelected="1" topLeftCell="A6" workbookViewId="0">
      <selection activeCell="J30" sqref="J30"/>
    </sheetView>
  </sheetViews>
  <sheetFormatPr defaultColWidth="12.5703125" defaultRowHeight="15.75" customHeight="1"/>
  <cols>
    <col min="1" max="2" width="7.5703125" customWidth="1"/>
    <col min="3" max="3" width="11.28515625" customWidth="1"/>
    <col min="4" max="4" width="9.42578125" customWidth="1"/>
    <col min="5" max="5" width="6.42578125" customWidth="1"/>
    <col min="6" max="6" width="7.5703125" customWidth="1"/>
    <col min="7" max="7" width="7.85546875" customWidth="1"/>
    <col min="8" max="8" width="7.5703125" customWidth="1"/>
    <col min="9" max="9" width="8.140625" customWidth="1"/>
    <col min="10" max="10" width="8.7109375" customWidth="1"/>
    <col min="11" max="12" width="10.140625" customWidth="1"/>
  </cols>
  <sheetData>
    <row r="1" spans="1:12" ht="25.5" customHeight="1">
      <c r="A1" s="1"/>
      <c r="B1" s="2"/>
      <c r="C1" s="2"/>
      <c r="D1" s="132" t="s">
        <v>0</v>
      </c>
      <c r="E1" s="133"/>
      <c r="F1" s="133"/>
      <c r="G1" s="133"/>
      <c r="H1" s="133"/>
      <c r="I1" s="134"/>
      <c r="J1" s="3"/>
      <c r="K1" s="2"/>
      <c r="L1" s="2"/>
    </row>
    <row r="2" spans="1:12" ht="34.5" thickBot="1">
      <c r="A2" s="4"/>
      <c r="B2" s="5"/>
      <c r="C2" s="5"/>
      <c r="D2" s="135"/>
      <c r="E2" s="135"/>
      <c r="F2" s="135"/>
      <c r="G2" s="135"/>
      <c r="H2" s="135"/>
      <c r="I2" s="136"/>
      <c r="J2" s="6"/>
      <c r="K2" s="5"/>
      <c r="L2" s="5"/>
    </row>
    <row r="3" spans="1:12" ht="22.5" customHeight="1" thickBot="1">
      <c r="A3" s="7"/>
      <c r="B3" s="8"/>
      <c r="C3" s="8"/>
      <c r="D3" s="9"/>
      <c r="E3" s="10"/>
      <c r="F3" s="11"/>
      <c r="G3" s="10"/>
      <c r="H3" s="10"/>
      <c r="I3" s="9"/>
      <c r="J3" s="8"/>
      <c r="K3" s="8"/>
      <c r="L3" s="8"/>
    </row>
    <row r="4" spans="1:12" ht="30" customHeight="1">
      <c r="A4" s="12" t="s">
        <v>1</v>
      </c>
      <c r="B4" s="137">
        <v>46225</v>
      </c>
      <c r="C4" s="138"/>
      <c r="D4" s="139"/>
      <c r="E4" s="13"/>
      <c r="F4" s="140" t="s">
        <v>58</v>
      </c>
      <c r="G4" s="57" t="s">
        <v>51</v>
      </c>
      <c r="H4" s="144" t="s">
        <v>2</v>
      </c>
      <c r="I4" s="145"/>
      <c r="J4" s="14" t="s">
        <v>3</v>
      </c>
      <c r="K4" s="146" t="s">
        <v>4</v>
      </c>
      <c r="L4" s="147"/>
    </row>
    <row r="5" spans="1:12" ht="30" customHeight="1">
      <c r="A5" s="148" t="s">
        <v>6</v>
      </c>
      <c r="B5" s="104"/>
      <c r="C5" s="105"/>
      <c r="D5" s="15" t="s">
        <v>5</v>
      </c>
      <c r="E5" s="13"/>
      <c r="F5" s="141"/>
      <c r="G5" s="16" t="s">
        <v>7</v>
      </c>
      <c r="H5" s="92" t="s">
        <v>62</v>
      </c>
      <c r="I5" s="125"/>
      <c r="J5" s="125"/>
      <c r="K5" s="125"/>
      <c r="L5" s="126"/>
    </row>
    <row r="6" spans="1:12" ht="30" customHeight="1">
      <c r="A6" s="103" t="s">
        <v>8</v>
      </c>
      <c r="B6" s="104"/>
      <c r="C6" s="104"/>
      <c r="D6" s="105"/>
      <c r="E6" s="13"/>
      <c r="F6" s="142"/>
      <c r="G6" s="16" t="s">
        <v>9</v>
      </c>
      <c r="H6" s="92" t="s">
        <v>61</v>
      </c>
      <c r="I6" s="127"/>
      <c r="J6" s="127"/>
      <c r="K6" s="127"/>
      <c r="L6" s="128"/>
    </row>
    <row r="7" spans="1:12" ht="30" customHeight="1">
      <c r="A7" s="149" t="s">
        <v>10</v>
      </c>
      <c r="B7" s="106" t="str">
        <f>NUMBERSTRING(B8,1)&amp;"원정"</f>
        <v>일백오십팔만사천원정</v>
      </c>
      <c r="C7" s="107"/>
      <c r="D7" s="108"/>
      <c r="E7" s="13"/>
      <c r="F7" s="141"/>
      <c r="G7" s="16" t="s">
        <v>11</v>
      </c>
      <c r="H7" s="115" t="s">
        <v>12</v>
      </c>
      <c r="I7" s="116"/>
      <c r="J7" s="17" t="s">
        <v>13</v>
      </c>
      <c r="K7" s="115" t="s">
        <v>14</v>
      </c>
      <c r="L7" s="126"/>
    </row>
    <row r="8" spans="1:12" ht="30" customHeight="1" thickBot="1">
      <c r="A8" s="150"/>
      <c r="B8" s="129">
        <f>I11</f>
        <v>1584000</v>
      </c>
      <c r="C8" s="104"/>
      <c r="D8" s="105"/>
      <c r="E8" s="13"/>
      <c r="F8" s="143"/>
      <c r="G8" s="18" t="s">
        <v>57</v>
      </c>
      <c r="H8" s="112" t="s">
        <v>17</v>
      </c>
      <c r="I8" s="130"/>
      <c r="J8" s="130"/>
      <c r="K8" s="130"/>
      <c r="L8" s="131"/>
    </row>
    <row r="9" spans="1:12" ht="17.25" thickBot="1">
      <c r="A9" s="19"/>
      <c r="B9" s="20"/>
      <c r="C9" s="20"/>
      <c r="D9" s="20"/>
      <c r="E9" s="21"/>
      <c r="F9" s="21"/>
      <c r="G9" s="22"/>
      <c r="H9" s="22"/>
      <c r="I9" s="22"/>
      <c r="J9" s="22"/>
      <c r="K9" s="22"/>
      <c r="L9" s="22"/>
    </row>
    <row r="10" spans="1:12" ht="42" customHeight="1">
      <c r="A10" s="23" t="s">
        <v>18</v>
      </c>
      <c r="B10" s="109" t="s">
        <v>19</v>
      </c>
      <c r="C10" s="84"/>
      <c r="D10" s="84"/>
      <c r="E10" s="24" t="s">
        <v>20</v>
      </c>
      <c r="F10" s="110" t="s">
        <v>41</v>
      </c>
      <c r="G10" s="111"/>
      <c r="H10" s="25" t="s">
        <v>21</v>
      </c>
      <c r="I10" s="26" t="s">
        <v>15</v>
      </c>
      <c r="J10" s="27">
        <v>2</v>
      </c>
      <c r="K10" s="27" t="s">
        <v>16</v>
      </c>
      <c r="L10" s="28" t="s">
        <v>52</v>
      </c>
    </row>
    <row r="11" spans="1:12" ht="42" customHeight="1" thickBot="1">
      <c r="A11" s="29" t="s">
        <v>22</v>
      </c>
      <c r="B11" s="112" t="str">
        <f>A5</f>
        <v xml:space="preserve"> 한국교육학술정보원</v>
      </c>
      <c r="C11" s="96"/>
      <c r="D11" s="96"/>
      <c r="E11" s="30" t="s">
        <v>23</v>
      </c>
      <c r="F11" s="113" t="s">
        <v>24</v>
      </c>
      <c r="G11" s="114"/>
      <c r="H11" s="31" t="s">
        <v>25</v>
      </c>
      <c r="I11" s="95">
        <f>I43</f>
        <v>1584000</v>
      </c>
      <c r="J11" s="96"/>
      <c r="K11" s="96"/>
      <c r="L11" s="97"/>
    </row>
    <row r="12" spans="1:12" ht="8.25" customHeight="1" thickBot="1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</row>
    <row r="13" spans="1:12" ht="26.25" customHeight="1" thickBot="1">
      <c r="A13" s="117" t="s">
        <v>26</v>
      </c>
      <c r="B13" s="118"/>
      <c r="C13" s="118"/>
      <c r="D13" s="78"/>
      <c r="E13" s="77" t="s">
        <v>23</v>
      </c>
      <c r="F13" s="78"/>
      <c r="G13" s="79" t="s">
        <v>27</v>
      </c>
      <c r="H13" s="78"/>
      <c r="I13" s="77" t="s">
        <v>25</v>
      </c>
      <c r="J13" s="78"/>
      <c r="K13" s="79" t="s">
        <v>28</v>
      </c>
      <c r="L13" s="91"/>
    </row>
    <row r="14" spans="1:12" ht="24.95" customHeight="1" thickTop="1">
      <c r="A14" s="89" t="s">
        <v>40</v>
      </c>
      <c r="B14" s="90"/>
      <c r="C14" s="90"/>
      <c r="D14" s="90"/>
      <c r="E14" s="121" t="s">
        <v>42</v>
      </c>
      <c r="F14" s="122"/>
      <c r="G14" s="53">
        <v>90</v>
      </c>
      <c r="H14" s="54">
        <v>40</v>
      </c>
      <c r="I14" s="100">
        <f>SUM(I15:J18)</f>
        <v>1440000</v>
      </c>
      <c r="J14" s="101"/>
      <c r="K14" s="98"/>
      <c r="L14" s="99"/>
    </row>
    <row r="15" spans="1:12" ht="24.95" hidden="1" customHeight="1">
      <c r="A15" s="123" t="s">
        <v>34</v>
      </c>
      <c r="B15" s="32" t="s">
        <v>43</v>
      </c>
      <c r="C15" s="34"/>
      <c r="D15" s="33"/>
      <c r="E15" s="35">
        <v>0</v>
      </c>
      <c r="F15" s="36" t="s">
        <v>31</v>
      </c>
      <c r="G15" s="102">
        <v>300000</v>
      </c>
      <c r="H15" s="82"/>
      <c r="I15" s="94">
        <f>G15*E15</f>
        <v>0</v>
      </c>
      <c r="J15" s="82"/>
      <c r="K15" s="92"/>
      <c r="L15" s="93"/>
    </row>
    <row r="16" spans="1:12" ht="24.95" hidden="1" customHeight="1">
      <c r="A16" s="124"/>
      <c r="B16" s="32" t="s">
        <v>16</v>
      </c>
      <c r="C16" s="34"/>
      <c r="D16" s="33"/>
      <c r="E16" s="35">
        <v>0</v>
      </c>
      <c r="F16" s="36" t="s">
        <v>45</v>
      </c>
      <c r="G16" s="102">
        <v>10040</v>
      </c>
      <c r="H16" s="82"/>
      <c r="I16" s="94">
        <f>G16*E16</f>
        <v>0</v>
      </c>
      <c r="J16" s="82"/>
      <c r="K16" s="92"/>
      <c r="L16" s="93"/>
    </row>
    <row r="17" spans="1:12" ht="24.95" customHeight="1">
      <c r="A17" s="119" t="s">
        <v>29</v>
      </c>
      <c r="B17" s="32" t="s">
        <v>16</v>
      </c>
      <c r="C17" s="34"/>
      <c r="D17" s="33" t="s">
        <v>46</v>
      </c>
      <c r="E17" s="37">
        <v>40</v>
      </c>
      <c r="F17" s="38">
        <v>90</v>
      </c>
      <c r="G17" s="102">
        <v>300</v>
      </c>
      <c r="H17" s="82"/>
      <c r="I17" s="94">
        <f>E17*F17*G17</f>
        <v>1080000</v>
      </c>
      <c r="J17" s="82"/>
      <c r="K17" s="92"/>
      <c r="L17" s="93"/>
    </row>
    <row r="18" spans="1:12" ht="24.95" customHeight="1">
      <c r="A18" s="120"/>
      <c r="B18" s="34" t="s">
        <v>59</v>
      </c>
      <c r="C18" s="34"/>
      <c r="D18" s="33" t="s">
        <v>63</v>
      </c>
      <c r="E18" s="35">
        <v>90</v>
      </c>
      <c r="F18" s="36" t="s">
        <v>33</v>
      </c>
      <c r="G18" s="102">
        <v>4000</v>
      </c>
      <c r="H18" s="82"/>
      <c r="I18" s="94">
        <f>G18*E18</f>
        <v>360000</v>
      </c>
      <c r="J18" s="82"/>
      <c r="K18" s="92" t="s">
        <v>60</v>
      </c>
      <c r="L18" s="93"/>
    </row>
    <row r="19" spans="1:12" ht="24.95" hidden="1" customHeight="1" thickTop="1">
      <c r="A19" s="89" t="s">
        <v>53</v>
      </c>
      <c r="B19" s="90"/>
      <c r="C19" s="90"/>
      <c r="D19" s="90"/>
      <c r="E19" s="121" t="s">
        <v>54</v>
      </c>
      <c r="F19" s="122"/>
      <c r="G19" s="52">
        <v>0</v>
      </c>
      <c r="H19" s="55" t="s">
        <v>44</v>
      </c>
      <c r="I19" s="100">
        <f>SUM(I20:J21)</f>
        <v>0</v>
      </c>
      <c r="J19" s="101"/>
      <c r="K19" s="98"/>
      <c r="L19" s="99"/>
    </row>
    <row r="20" spans="1:12" ht="24.95" hidden="1" customHeight="1">
      <c r="A20" s="172" t="s">
        <v>29</v>
      </c>
      <c r="B20" s="173" t="s">
        <v>30</v>
      </c>
      <c r="C20" s="174"/>
      <c r="D20" s="175"/>
      <c r="E20" s="71">
        <v>0</v>
      </c>
      <c r="F20" s="176" t="s">
        <v>31</v>
      </c>
      <c r="G20" s="102">
        <v>60000</v>
      </c>
      <c r="H20" s="82"/>
      <c r="I20" s="94">
        <f t="shared" ref="I20:I21" si="0">G20*E20</f>
        <v>0</v>
      </c>
      <c r="J20" s="82"/>
      <c r="K20" s="92"/>
      <c r="L20" s="93"/>
    </row>
    <row r="21" spans="1:12" ht="24.95" hidden="1" customHeight="1" thickBot="1">
      <c r="A21" s="88"/>
      <c r="B21" s="47" t="s">
        <v>55</v>
      </c>
      <c r="C21" s="48"/>
      <c r="D21" s="49"/>
      <c r="E21" s="50">
        <f>G19</f>
        <v>0</v>
      </c>
      <c r="F21" s="51" t="s">
        <v>33</v>
      </c>
      <c r="G21" s="76">
        <v>60000</v>
      </c>
      <c r="H21" s="75"/>
      <c r="I21" s="74">
        <f t="shared" si="0"/>
        <v>0</v>
      </c>
      <c r="J21" s="75"/>
      <c r="K21" s="72" t="s">
        <v>56</v>
      </c>
      <c r="L21" s="73"/>
    </row>
    <row r="22" spans="1:12" ht="24.95" hidden="1" customHeight="1" thickTop="1">
      <c r="A22" s="89" t="s">
        <v>49</v>
      </c>
      <c r="B22" s="90"/>
      <c r="C22" s="90"/>
      <c r="D22" s="90"/>
      <c r="E22" s="121" t="s">
        <v>48</v>
      </c>
      <c r="F22" s="122"/>
      <c r="G22" s="52">
        <v>0</v>
      </c>
      <c r="H22" s="55" t="s">
        <v>44</v>
      </c>
      <c r="I22" s="100">
        <f>SUM(I23:J24)</f>
        <v>0</v>
      </c>
      <c r="J22" s="101"/>
      <c r="K22" s="98"/>
      <c r="L22" s="99"/>
    </row>
    <row r="23" spans="1:12" ht="24.95" hidden="1" customHeight="1">
      <c r="A23" s="86" t="s">
        <v>29</v>
      </c>
      <c r="B23" s="32" t="s">
        <v>30</v>
      </c>
      <c r="C23" s="34"/>
      <c r="D23" s="33"/>
      <c r="E23" s="60">
        <v>0</v>
      </c>
      <c r="F23" s="36" t="s">
        <v>31</v>
      </c>
      <c r="G23" s="102">
        <v>60000</v>
      </c>
      <c r="H23" s="82"/>
      <c r="I23" s="94">
        <f>G23*E23</f>
        <v>0</v>
      </c>
      <c r="J23" s="82"/>
      <c r="K23" s="92"/>
      <c r="L23" s="93"/>
    </row>
    <row r="24" spans="1:12" ht="24.95" hidden="1" customHeight="1" thickBot="1">
      <c r="A24" s="88"/>
      <c r="B24" s="47" t="s">
        <v>32</v>
      </c>
      <c r="C24" s="48"/>
      <c r="D24" s="49"/>
      <c r="E24" s="50">
        <f>G22</f>
        <v>0</v>
      </c>
      <c r="F24" s="51" t="s">
        <v>33</v>
      </c>
      <c r="G24" s="76">
        <v>50000</v>
      </c>
      <c r="H24" s="75"/>
      <c r="I24" s="74">
        <f>G24*E24</f>
        <v>0</v>
      </c>
      <c r="J24" s="75"/>
      <c r="K24" s="164"/>
      <c r="L24" s="165"/>
    </row>
    <row r="25" spans="1:12" ht="24.95" hidden="1" customHeight="1" thickTop="1">
      <c r="A25" s="89" t="s">
        <v>50</v>
      </c>
      <c r="B25" s="90"/>
      <c r="C25" s="90"/>
      <c r="D25" s="90"/>
      <c r="E25" s="121"/>
      <c r="F25" s="122"/>
      <c r="G25" s="56">
        <v>0</v>
      </c>
      <c r="H25" s="55" t="s">
        <v>44</v>
      </c>
      <c r="I25" s="100">
        <f>SUM(I26:J27)</f>
        <v>0</v>
      </c>
      <c r="J25" s="171"/>
      <c r="K25" s="98"/>
      <c r="L25" s="170"/>
    </row>
    <row r="26" spans="1:12" ht="24.95" hidden="1" customHeight="1">
      <c r="A26" s="86" t="s">
        <v>29</v>
      </c>
      <c r="B26" s="32" t="s">
        <v>30</v>
      </c>
      <c r="C26" s="34"/>
      <c r="D26" s="33"/>
      <c r="E26" s="60">
        <v>0</v>
      </c>
      <c r="F26" s="36" t="s">
        <v>31</v>
      </c>
      <c r="G26" s="102">
        <v>50000</v>
      </c>
      <c r="H26" s="82"/>
      <c r="I26" s="94">
        <f t="shared" ref="I26" si="1">G26*E26</f>
        <v>0</v>
      </c>
      <c r="J26" s="82"/>
      <c r="K26" s="92"/>
      <c r="L26" s="93"/>
    </row>
    <row r="27" spans="1:12" ht="24.95" hidden="1" customHeight="1">
      <c r="A27" s="87"/>
      <c r="B27" s="32" t="s">
        <v>35</v>
      </c>
      <c r="C27" s="34"/>
      <c r="D27" s="33"/>
      <c r="E27" s="60">
        <f>G25</f>
        <v>0</v>
      </c>
      <c r="F27" s="36" t="s">
        <v>33</v>
      </c>
      <c r="G27" s="102">
        <v>4500</v>
      </c>
      <c r="H27" s="82"/>
      <c r="I27" s="94">
        <f>G27*E27</f>
        <v>0</v>
      </c>
      <c r="J27" s="82"/>
      <c r="K27" s="168" t="s">
        <v>47</v>
      </c>
      <c r="L27" s="169"/>
    </row>
    <row r="28" spans="1:12" ht="24.95" customHeight="1">
      <c r="A28" s="64"/>
      <c r="B28" s="32"/>
      <c r="C28" s="34"/>
      <c r="D28" s="33"/>
      <c r="E28" s="60"/>
      <c r="F28" s="65"/>
      <c r="G28" s="66"/>
      <c r="H28" s="63"/>
      <c r="I28" s="62"/>
      <c r="J28" s="59"/>
      <c r="K28" s="61"/>
      <c r="L28" s="58"/>
    </row>
    <row r="29" spans="1:12" ht="24.95" customHeight="1">
      <c r="A29" s="64"/>
      <c r="B29" s="32"/>
      <c r="C29" s="34"/>
      <c r="D29" s="33"/>
      <c r="E29" s="60"/>
      <c r="F29" s="65"/>
      <c r="G29" s="66"/>
      <c r="H29" s="63"/>
      <c r="I29" s="62"/>
      <c r="J29" s="59"/>
      <c r="K29" s="61"/>
      <c r="L29" s="58"/>
    </row>
    <row r="30" spans="1:12" ht="24.95" customHeight="1">
      <c r="A30" s="64"/>
      <c r="B30" s="32"/>
      <c r="C30" s="34"/>
      <c r="D30" s="33"/>
      <c r="E30" s="60"/>
      <c r="F30" s="65"/>
      <c r="G30" s="66"/>
      <c r="H30" s="63"/>
      <c r="I30" s="62"/>
      <c r="J30" s="59"/>
      <c r="K30" s="61"/>
      <c r="L30" s="58"/>
    </row>
    <row r="31" spans="1:12" ht="24.95" customHeight="1">
      <c r="A31" s="64"/>
      <c r="B31" s="32"/>
      <c r="C31" s="34"/>
      <c r="D31" s="33"/>
      <c r="E31" s="60"/>
      <c r="F31" s="65"/>
      <c r="G31" s="66"/>
      <c r="H31" s="63"/>
      <c r="I31" s="62"/>
      <c r="J31" s="59"/>
      <c r="K31" s="61"/>
      <c r="L31" s="58"/>
    </row>
    <row r="32" spans="1:12" ht="24.95" customHeight="1">
      <c r="A32" s="64"/>
      <c r="B32" s="32"/>
      <c r="C32" s="34"/>
      <c r="D32" s="33"/>
      <c r="E32" s="60"/>
      <c r="F32" s="65"/>
      <c r="G32" s="66"/>
      <c r="H32" s="63"/>
      <c r="I32" s="62"/>
      <c r="J32" s="59"/>
      <c r="K32" s="61"/>
      <c r="L32" s="58"/>
    </row>
    <row r="33" spans="1:12" ht="24.95" customHeight="1">
      <c r="A33" s="64"/>
      <c r="B33" s="32"/>
      <c r="C33" s="34"/>
      <c r="D33" s="33"/>
      <c r="E33" s="60"/>
      <c r="F33" s="65"/>
      <c r="G33" s="66"/>
      <c r="H33" s="63"/>
      <c r="I33" s="62"/>
      <c r="J33" s="59"/>
      <c r="K33" s="61"/>
      <c r="L33" s="58"/>
    </row>
    <row r="34" spans="1:12" ht="24.95" customHeight="1">
      <c r="A34" s="64"/>
      <c r="B34" s="32"/>
      <c r="C34" s="34"/>
      <c r="D34" s="33"/>
      <c r="E34" s="60"/>
      <c r="F34" s="65"/>
      <c r="G34" s="66"/>
      <c r="H34" s="63"/>
      <c r="I34" s="62"/>
      <c r="J34" s="59"/>
      <c r="K34" s="61"/>
      <c r="L34" s="58"/>
    </row>
    <row r="35" spans="1:12" ht="24.95" customHeight="1">
      <c r="A35" s="64"/>
      <c r="B35" s="32"/>
      <c r="C35" s="34"/>
      <c r="D35" s="33"/>
      <c r="E35" s="60"/>
      <c r="F35" s="65"/>
      <c r="G35" s="66"/>
      <c r="H35" s="63"/>
      <c r="I35" s="62"/>
      <c r="J35" s="59"/>
      <c r="K35" s="61"/>
      <c r="L35" s="58"/>
    </row>
    <row r="36" spans="1:12" ht="24.95" customHeight="1">
      <c r="A36" s="64"/>
      <c r="B36" s="32"/>
      <c r="C36" s="34"/>
      <c r="D36" s="33"/>
      <c r="E36" s="60"/>
      <c r="F36" s="65"/>
      <c r="G36" s="66"/>
      <c r="H36" s="63"/>
      <c r="I36" s="62"/>
      <c r="J36" s="59"/>
      <c r="K36" s="61"/>
      <c r="L36" s="58"/>
    </row>
    <row r="37" spans="1:12" ht="24.95" customHeight="1">
      <c r="A37" s="64"/>
      <c r="B37" s="32"/>
      <c r="C37" s="34"/>
      <c r="D37" s="33"/>
      <c r="E37" s="60"/>
      <c r="F37" s="65"/>
      <c r="G37" s="66"/>
      <c r="H37" s="70"/>
      <c r="I37" s="69"/>
      <c r="J37" s="68"/>
      <c r="K37" s="61"/>
      <c r="L37" s="67"/>
    </row>
    <row r="38" spans="1:12" ht="24.95" customHeight="1">
      <c r="A38" s="64"/>
      <c r="B38" s="32"/>
      <c r="C38" s="34"/>
      <c r="D38" s="33"/>
      <c r="E38" s="60"/>
      <c r="F38" s="65"/>
      <c r="G38" s="66"/>
      <c r="H38" s="70"/>
      <c r="I38" s="69"/>
      <c r="J38" s="68"/>
      <c r="K38" s="61"/>
      <c r="L38" s="67"/>
    </row>
    <row r="39" spans="1:12" ht="24.95" customHeight="1">
      <c r="A39" s="64"/>
      <c r="B39" s="32"/>
      <c r="C39" s="34"/>
      <c r="D39" s="33"/>
      <c r="E39" s="60"/>
      <c r="F39" s="65"/>
      <c r="G39" s="66"/>
      <c r="H39" s="63"/>
      <c r="I39" s="62"/>
      <c r="J39" s="59"/>
      <c r="K39" s="61"/>
      <c r="L39" s="58"/>
    </row>
    <row r="40" spans="1:12" ht="24.95" customHeight="1" thickBot="1">
      <c r="A40" s="80" t="s">
        <v>36</v>
      </c>
      <c r="B40" s="81"/>
      <c r="C40" s="81"/>
      <c r="D40" s="82"/>
      <c r="E40" s="166"/>
      <c r="F40" s="81"/>
      <c r="G40" s="81"/>
      <c r="H40" s="82"/>
      <c r="I40" s="167">
        <f>SUM(I14,I22,I19,I25)</f>
        <v>1440000</v>
      </c>
      <c r="J40" s="82"/>
      <c r="K40" s="161"/>
      <c r="L40" s="93"/>
    </row>
    <row r="41" spans="1:12" ht="24.95" customHeight="1">
      <c r="A41" s="83" t="s">
        <v>37</v>
      </c>
      <c r="B41" s="84"/>
      <c r="C41" s="84"/>
      <c r="D41" s="85"/>
      <c r="E41" s="39"/>
      <c r="F41" s="40"/>
      <c r="G41" s="41"/>
      <c r="H41" s="42"/>
      <c r="I41" s="156">
        <f>I40</f>
        <v>1440000</v>
      </c>
      <c r="J41" s="85"/>
      <c r="K41" s="157"/>
      <c r="L41" s="158"/>
    </row>
    <row r="42" spans="1:12" ht="24.95" customHeight="1">
      <c r="A42" s="162" t="s">
        <v>38</v>
      </c>
      <c r="B42" s="81"/>
      <c r="C42" s="81"/>
      <c r="D42" s="82"/>
      <c r="E42" s="43"/>
      <c r="F42" s="43"/>
      <c r="G42" s="159"/>
      <c r="H42" s="82"/>
      <c r="I42" s="160">
        <f>I41*0.1</f>
        <v>144000</v>
      </c>
      <c r="J42" s="82"/>
      <c r="K42" s="161"/>
      <c r="L42" s="93"/>
    </row>
    <row r="43" spans="1:12" ht="24.95" customHeight="1" thickBot="1">
      <c r="A43" s="163" t="s">
        <v>39</v>
      </c>
      <c r="B43" s="96"/>
      <c r="C43" s="96"/>
      <c r="D43" s="152"/>
      <c r="E43" s="44"/>
      <c r="F43" s="44"/>
      <c r="G43" s="151"/>
      <c r="H43" s="152"/>
      <c r="I43" s="153">
        <f>ROUND(SUM(I41:J42),0)</f>
        <v>1584000</v>
      </c>
      <c r="J43" s="152"/>
      <c r="K43" s="154"/>
      <c r="L43" s="97"/>
    </row>
    <row r="44" spans="1:12" ht="13.5">
      <c r="A44" s="155"/>
      <c r="B44" s="135"/>
      <c r="C44" s="135"/>
      <c r="D44" s="135"/>
      <c r="E44" s="135"/>
      <c r="F44" s="135"/>
      <c r="G44" s="135"/>
      <c r="H44" s="135"/>
      <c r="I44" s="135"/>
      <c r="J44" s="135"/>
      <c r="K44" s="135"/>
      <c r="L44" s="136"/>
    </row>
    <row r="45" spans="1:12" ht="13.5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</row>
    <row r="46" spans="1:12" ht="13.5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</row>
    <row r="47" spans="1:12" ht="13.5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</row>
    <row r="48" spans="1:12" ht="13.5">
      <c r="A48" s="46"/>
      <c r="B48" s="46"/>
      <c r="C48" s="46"/>
      <c r="D48" s="46"/>
      <c r="E48" s="46"/>
      <c r="F48" s="46"/>
      <c r="G48" s="46"/>
      <c r="H48" s="45"/>
      <c r="I48" s="45"/>
      <c r="J48" s="46"/>
      <c r="K48" s="46"/>
      <c r="L48" s="46"/>
    </row>
    <row r="49" spans="1:12" ht="13.5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</row>
    <row r="50" spans="1:12" ht="13.5">
      <c r="A50" s="46"/>
      <c r="B50" s="46"/>
      <c r="C50" s="46"/>
      <c r="D50" s="46"/>
      <c r="E50" s="46"/>
      <c r="F50" s="46"/>
      <c r="G50" s="46"/>
      <c r="H50" s="46"/>
      <c r="I50" s="46"/>
      <c r="J50" s="45"/>
      <c r="K50" s="46"/>
      <c r="L50" s="46"/>
    </row>
    <row r="51" spans="1:12" ht="13.5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</row>
    <row r="52" spans="1:12" ht="13.5">
      <c r="A52" s="46"/>
      <c r="B52" s="46"/>
      <c r="C52" s="46"/>
      <c r="D52" s="46"/>
      <c r="E52" s="46"/>
      <c r="F52" s="46"/>
      <c r="G52" s="46"/>
      <c r="H52" s="46"/>
      <c r="I52" s="46"/>
      <c r="J52" s="45"/>
      <c r="K52" s="46"/>
      <c r="L52" s="46"/>
    </row>
    <row r="53" spans="1:12" ht="13.5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</row>
    <row r="54" spans="1:12" ht="13.5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</row>
    <row r="55" spans="1:12" ht="13.5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</row>
    <row r="56" spans="1:12" ht="13.5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</row>
    <row r="57" spans="1:12" ht="13.5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</row>
    <row r="58" spans="1:12" ht="13.5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</row>
    <row r="59" spans="1:12" ht="13.5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</row>
    <row r="60" spans="1:12" ht="13.5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</row>
    <row r="61" spans="1:12" ht="13.5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</row>
    <row r="62" spans="1:12" ht="13.5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</row>
    <row r="63" spans="1:12" ht="13.5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</row>
    <row r="64" spans="1:12" ht="13.5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</row>
    <row r="65" spans="1:12" ht="13.5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</row>
    <row r="66" spans="1:12" ht="13.5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</row>
    <row r="67" spans="1:12" ht="13.5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</row>
    <row r="68" spans="1:12" ht="13.5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</row>
    <row r="69" spans="1:12" ht="13.5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</row>
    <row r="70" spans="1:12" ht="13.5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</row>
    <row r="71" spans="1:12" ht="13.5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</row>
    <row r="72" spans="1:12" ht="13.5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</row>
    <row r="73" spans="1:12" ht="13.5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</row>
    <row r="74" spans="1:12" ht="13.5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</row>
    <row r="75" spans="1:12" ht="13.5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</row>
    <row r="76" spans="1:12" ht="13.5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</row>
    <row r="77" spans="1:12" ht="13.5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</row>
    <row r="78" spans="1:12" ht="13.5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</row>
    <row r="79" spans="1:12" ht="13.5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</row>
    <row r="80" spans="1:12" ht="13.5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</row>
    <row r="81" spans="1:12" ht="13.5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</row>
    <row r="82" spans="1:12" ht="13.5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</row>
    <row r="83" spans="1:12" ht="13.5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</row>
    <row r="84" spans="1:12" ht="13.5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</row>
    <row r="85" spans="1:12" ht="13.5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</row>
    <row r="86" spans="1:12" ht="13.5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</row>
    <row r="87" spans="1:12" ht="13.5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</row>
    <row r="88" spans="1:12" ht="13.5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</row>
    <row r="89" spans="1:12" ht="13.5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</row>
    <row r="90" spans="1:12" ht="13.5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</row>
    <row r="91" spans="1:12" ht="13.5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</row>
    <row r="92" spans="1:12" ht="13.5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</row>
    <row r="93" spans="1:12" ht="13.5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</row>
    <row r="94" spans="1:12" ht="13.5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</row>
    <row r="95" spans="1:12" ht="13.5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</row>
    <row r="96" spans="1:12" ht="13.5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</row>
    <row r="97" spans="1:12" ht="13.5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</row>
    <row r="98" spans="1:12" ht="13.5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</row>
    <row r="99" spans="1:12" ht="13.5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</row>
    <row r="100" spans="1:12" ht="13.5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</row>
    <row r="101" spans="1:12" ht="13.5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</row>
    <row r="102" spans="1:12" ht="13.5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</row>
    <row r="103" spans="1:12" ht="13.5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</row>
    <row r="104" spans="1:12" ht="13.5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</row>
    <row r="105" spans="1:12" ht="13.5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</row>
    <row r="106" spans="1:12" ht="13.5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</row>
    <row r="107" spans="1:12" ht="13.5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</row>
    <row r="108" spans="1:12" ht="13.5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</row>
    <row r="109" spans="1:12" ht="13.5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</row>
    <row r="110" spans="1:12" ht="13.5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</row>
    <row r="111" spans="1:12" ht="13.5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</row>
    <row r="112" spans="1:12" ht="13.5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</row>
    <row r="113" spans="1:12" ht="13.5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</row>
    <row r="114" spans="1:12" ht="13.5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</row>
    <row r="115" spans="1:12" ht="13.5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</row>
    <row r="116" spans="1:12" ht="13.5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</row>
    <row r="117" spans="1:12" ht="13.5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</row>
    <row r="118" spans="1:12" ht="13.5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</row>
    <row r="119" spans="1:12" ht="13.5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</row>
    <row r="120" spans="1:12" ht="13.5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</row>
    <row r="121" spans="1:12" ht="13.5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</row>
    <row r="122" spans="1:12" ht="13.5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</row>
    <row r="123" spans="1:12" ht="13.5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</row>
    <row r="124" spans="1:12" ht="13.5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</row>
    <row r="125" spans="1:12" ht="13.5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</row>
    <row r="126" spans="1:12" ht="13.5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</row>
    <row r="127" spans="1:12" ht="13.5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</row>
    <row r="128" spans="1:12" ht="13.5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</row>
    <row r="129" spans="1:12" ht="13.5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</row>
    <row r="130" spans="1:12" ht="13.5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</row>
    <row r="131" spans="1:12" ht="13.5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</row>
    <row r="132" spans="1:12" ht="13.5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</row>
    <row r="133" spans="1:12" ht="13.5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</row>
    <row r="134" spans="1:12" ht="13.5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</row>
    <row r="135" spans="1:12" ht="13.5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</row>
    <row r="136" spans="1:12" ht="13.5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</row>
    <row r="137" spans="1:12" ht="13.5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</row>
    <row r="138" spans="1:12" ht="13.5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</row>
    <row r="139" spans="1:12" ht="13.5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</row>
    <row r="140" spans="1:12" ht="13.5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</row>
    <row r="141" spans="1:12" ht="13.5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</row>
    <row r="142" spans="1:12" ht="13.5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</row>
    <row r="143" spans="1:12" ht="13.5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</row>
    <row r="144" spans="1:12" ht="13.5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</row>
    <row r="145" spans="1:12" ht="13.5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</row>
    <row r="146" spans="1:12" ht="13.5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</row>
    <row r="147" spans="1:12" ht="13.5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</row>
    <row r="148" spans="1:12" ht="13.5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</row>
    <row r="149" spans="1:12" ht="13.5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</row>
    <row r="150" spans="1:12" ht="13.5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</row>
    <row r="151" spans="1:12" ht="13.5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</row>
    <row r="152" spans="1:12" ht="13.5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</row>
    <row r="153" spans="1:12" ht="13.5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</row>
    <row r="154" spans="1:12" ht="13.5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</row>
    <row r="155" spans="1:12" ht="13.5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</row>
    <row r="156" spans="1:12" ht="13.5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</row>
    <row r="157" spans="1:12" ht="13.5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</row>
    <row r="158" spans="1:12" ht="13.5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</row>
    <row r="159" spans="1:12" ht="13.5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</row>
    <row r="160" spans="1:12" ht="13.5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</row>
    <row r="161" spans="1:12" ht="13.5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</row>
    <row r="162" spans="1:12" ht="13.5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</row>
    <row r="163" spans="1:12" ht="13.5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</row>
    <row r="164" spans="1:12" ht="13.5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</row>
    <row r="165" spans="1:12" ht="13.5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</row>
    <row r="166" spans="1:12" ht="13.5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</row>
    <row r="167" spans="1:12" ht="13.5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</row>
    <row r="168" spans="1:12" ht="13.5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</row>
    <row r="169" spans="1:12" ht="13.5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</row>
    <row r="170" spans="1:12" ht="13.5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</row>
    <row r="171" spans="1:12" ht="13.5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</row>
    <row r="172" spans="1:12" ht="13.5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</row>
    <row r="173" spans="1:12" ht="13.5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</row>
    <row r="174" spans="1:12" ht="13.5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</row>
    <row r="175" spans="1:12" ht="13.5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</row>
    <row r="176" spans="1:12" ht="13.5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</row>
    <row r="177" spans="1:12" ht="13.5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</row>
    <row r="178" spans="1:12" ht="13.5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</row>
    <row r="179" spans="1:12" ht="13.5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</row>
    <row r="180" spans="1:12" ht="13.5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</row>
    <row r="181" spans="1:12" ht="13.5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</row>
    <row r="182" spans="1:12" ht="13.5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</row>
    <row r="183" spans="1:12" ht="13.5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</row>
    <row r="184" spans="1:12" ht="13.5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</row>
    <row r="185" spans="1:12" ht="13.5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</row>
    <row r="186" spans="1:12" ht="13.5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</row>
    <row r="187" spans="1:12" ht="13.5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</row>
    <row r="188" spans="1:12" ht="13.5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</row>
    <row r="189" spans="1:12" ht="13.5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</row>
    <row r="190" spans="1:12" ht="13.5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</row>
    <row r="191" spans="1:12" ht="13.5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</row>
    <row r="192" spans="1:12" ht="13.5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</row>
    <row r="193" spans="1:12" ht="13.5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</row>
    <row r="194" spans="1:12" ht="13.5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</row>
    <row r="195" spans="1:12" ht="13.5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</row>
    <row r="196" spans="1:12" ht="13.5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</row>
    <row r="197" spans="1:12" ht="13.5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</row>
    <row r="198" spans="1:12" ht="13.5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</row>
    <row r="199" spans="1:12" ht="13.5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</row>
    <row r="200" spans="1:12" ht="13.5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</row>
    <row r="201" spans="1:12" ht="13.5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</row>
    <row r="202" spans="1:12" ht="13.5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</row>
    <row r="203" spans="1:12" ht="13.5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</row>
    <row r="204" spans="1:12" ht="13.5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</row>
    <row r="205" spans="1:12" ht="13.5">
      <c r="A205" s="46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</row>
    <row r="206" spans="1:12" ht="13.5">
      <c r="A206" s="46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</row>
    <row r="207" spans="1:12" ht="13.5">
      <c r="A207" s="46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</row>
    <row r="208" spans="1:12" ht="13.5">
      <c r="A208" s="46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</row>
    <row r="209" spans="1:12" ht="13.5">
      <c r="A209" s="46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</row>
    <row r="210" spans="1:12" ht="13.5">
      <c r="A210" s="46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</row>
    <row r="211" spans="1:12" ht="13.5">
      <c r="A211" s="46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</row>
    <row r="212" spans="1:12" ht="13.5">
      <c r="A212" s="46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</row>
    <row r="213" spans="1:12" ht="13.5">
      <c r="A213" s="46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</row>
    <row r="214" spans="1:12" ht="13.5">
      <c r="A214" s="46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</row>
    <row r="215" spans="1:12" ht="13.5">
      <c r="A215" s="46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</row>
    <row r="216" spans="1:12" ht="13.5">
      <c r="A216" s="46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</row>
    <row r="217" spans="1:12" ht="13.5">
      <c r="A217" s="46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</row>
    <row r="218" spans="1:12" ht="13.5">
      <c r="A218" s="46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</row>
    <row r="219" spans="1:12" ht="13.5">
      <c r="A219" s="46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</row>
    <row r="220" spans="1:12" ht="13.5">
      <c r="A220" s="46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</row>
    <row r="221" spans="1:12" ht="13.5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</row>
    <row r="222" spans="1:12" ht="13.5">
      <c r="A222" s="46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</row>
    <row r="223" spans="1:12" ht="13.5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</row>
    <row r="224" spans="1:12" ht="13.5">
      <c r="A224" s="46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</row>
    <row r="225" spans="1:12" ht="13.5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</row>
    <row r="226" spans="1:12" ht="13.5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</row>
    <row r="227" spans="1:12" ht="13.5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</row>
    <row r="228" spans="1:12" ht="13.5">
      <c r="A228" s="46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</row>
    <row r="229" spans="1:12" ht="13.5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</row>
    <row r="230" spans="1:12" ht="13.5">
      <c r="A230" s="46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</row>
    <row r="231" spans="1:12" ht="13.5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</row>
    <row r="232" spans="1:12" ht="13.5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</row>
    <row r="233" spans="1:12" ht="13.5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</row>
    <row r="234" spans="1:12" ht="13.5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</row>
    <row r="235" spans="1:12" ht="13.5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</row>
    <row r="236" spans="1:12" ht="13.5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</row>
    <row r="237" spans="1:12" ht="13.5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</row>
    <row r="238" spans="1:12" ht="13.5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</row>
    <row r="239" spans="1:12" ht="13.5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</row>
    <row r="240" spans="1:12" ht="13.5">
      <c r="A240" s="46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</row>
    <row r="241" spans="1:12" ht="13.5">
      <c r="A241" s="46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</row>
    <row r="242" spans="1:12" ht="13.5">
      <c r="A242" s="46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</row>
    <row r="243" spans="1:12" ht="13.5">
      <c r="A243" s="46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</row>
    <row r="244" spans="1:12" ht="13.5">
      <c r="A244" s="46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</row>
    <row r="245" spans="1:12" ht="13.5">
      <c r="A245" s="46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</row>
    <row r="246" spans="1:12" ht="13.5">
      <c r="A246" s="46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</row>
    <row r="247" spans="1:12" ht="13.5">
      <c r="A247" s="46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</row>
    <row r="248" spans="1:12" ht="13.5">
      <c r="A248" s="46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</row>
    <row r="249" spans="1:12" ht="13.5">
      <c r="A249" s="46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</row>
    <row r="250" spans="1:12" ht="13.5">
      <c r="A250" s="46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</row>
    <row r="251" spans="1:12" ht="13.5">
      <c r="A251" s="46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</row>
    <row r="252" spans="1:12" ht="13.5">
      <c r="A252" s="46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</row>
    <row r="253" spans="1:12" ht="13.5">
      <c r="A253" s="46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</row>
    <row r="254" spans="1:12" ht="13.5">
      <c r="A254" s="46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</row>
    <row r="255" spans="1:12" ht="13.5">
      <c r="A255" s="46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</row>
    <row r="256" spans="1:12" ht="13.5">
      <c r="A256" s="46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</row>
    <row r="257" spans="1:12" ht="13.5">
      <c r="A257" s="46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</row>
    <row r="258" spans="1:12" ht="13.5">
      <c r="A258" s="46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</row>
    <row r="259" spans="1:12" ht="13.5">
      <c r="A259" s="46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</row>
    <row r="260" spans="1:12" ht="13.5">
      <c r="A260" s="46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</row>
    <row r="261" spans="1:12" ht="13.5">
      <c r="A261" s="46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</row>
    <row r="262" spans="1:12" ht="13.5">
      <c r="A262" s="46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</row>
    <row r="263" spans="1:12" ht="13.5">
      <c r="A263" s="46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</row>
    <row r="264" spans="1:12" ht="13.5">
      <c r="A264" s="46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</row>
    <row r="265" spans="1:12" ht="13.5">
      <c r="A265" s="46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</row>
    <row r="266" spans="1:12" ht="13.5">
      <c r="A266" s="46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</row>
    <row r="267" spans="1:12" ht="13.5">
      <c r="A267" s="46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</row>
    <row r="268" spans="1:12" ht="13.5">
      <c r="A268" s="46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</row>
    <row r="269" spans="1:12" ht="13.5">
      <c r="A269" s="46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</row>
    <row r="270" spans="1:12" ht="13.5">
      <c r="A270" s="46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</row>
    <row r="271" spans="1:12" ht="13.5">
      <c r="A271" s="46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</row>
    <row r="272" spans="1:12" ht="13.5">
      <c r="A272" s="46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</row>
    <row r="273" spans="1:12" ht="13.5">
      <c r="A273" s="46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</row>
    <row r="274" spans="1:12" ht="13.5">
      <c r="A274" s="46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</row>
    <row r="275" spans="1:12" ht="13.5">
      <c r="A275" s="46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</row>
    <row r="276" spans="1:12" ht="13.5">
      <c r="A276" s="46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</row>
    <row r="277" spans="1:12" ht="13.5">
      <c r="A277" s="46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</row>
    <row r="278" spans="1:12" ht="13.5">
      <c r="A278" s="46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</row>
    <row r="279" spans="1:12" ht="13.5">
      <c r="A279" s="46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</row>
    <row r="280" spans="1:12" ht="13.5">
      <c r="A280" s="46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</row>
    <row r="281" spans="1:12" ht="13.5">
      <c r="A281" s="46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</row>
    <row r="282" spans="1:12" ht="13.5">
      <c r="A282" s="46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</row>
    <row r="283" spans="1:12" ht="13.5">
      <c r="A283" s="46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</row>
    <row r="284" spans="1:12" ht="13.5">
      <c r="A284" s="46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</row>
    <row r="285" spans="1:12" ht="13.5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</row>
    <row r="286" spans="1:12" ht="13.5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</row>
    <row r="287" spans="1:12" ht="13.5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</row>
    <row r="288" spans="1:12" ht="13.5">
      <c r="A288" s="46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</row>
    <row r="289" spans="1:12" ht="13.5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</row>
    <row r="290" spans="1:12" ht="13.5">
      <c r="A290" s="46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</row>
    <row r="291" spans="1:12" ht="13.5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</row>
    <row r="292" spans="1:12" ht="13.5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</row>
    <row r="293" spans="1:12" ht="13.5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</row>
    <row r="294" spans="1:12" ht="13.5">
      <c r="A294" s="46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</row>
    <row r="295" spans="1:12" ht="13.5">
      <c r="A295" s="46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</row>
    <row r="296" spans="1:12" ht="13.5">
      <c r="A296" s="46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</row>
    <row r="297" spans="1:12" ht="13.5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</row>
    <row r="298" spans="1:12" ht="13.5">
      <c r="A298" s="46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</row>
    <row r="299" spans="1:12" ht="13.5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</row>
    <row r="300" spans="1:12" ht="13.5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</row>
    <row r="301" spans="1:12" ht="13.5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</row>
    <row r="302" spans="1:12" ht="13.5">
      <c r="A302" s="46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</row>
    <row r="303" spans="1:12" ht="13.5">
      <c r="A303" s="46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</row>
    <row r="304" spans="1:12" ht="13.5">
      <c r="A304" s="46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</row>
    <row r="305" spans="1:12" ht="13.5">
      <c r="A305" s="46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</row>
    <row r="306" spans="1:12" ht="13.5">
      <c r="A306" s="46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</row>
    <row r="307" spans="1:12" ht="13.5">
      <c r="A307" s="46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</row>
    <row r="308" spans="1:12" ht="13.5">
      <c r="A308" s="46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</row>
    <row r="309" spans="1:12" ht="13.5">
      <c r="A309" s="46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</row>
    <row r="310" spans="1:12" ht="13.5">
      <c r="A310" s="46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</row>
    <row r="311" spans="1:12" ht="13.5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</row>
    <row r="312" spans="1:12" ht="13.5">
      <c r="A312" s="46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</row>
    <row r="313" spans="1:12" ht="13.5">
      <c r="A313" s="46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</row>
    <row r="314" spans="1:12" ht="13.5">
      <c r="A314" s="46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</row>
    <row r="315" spans="1:12" ht="13.5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</row>
    <row r="316" spans="1:12" ht="13.5">
      <c r="A316" s="46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</row>
    <row r="317" spans="1:12" ht="13.5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</row>
    <row r="318" spans="1:12" ht="13.5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</row>
    <row r="319" spans="1:12" ht="13.5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</row>
    <row r="320" spans="1:12" ht="13.5">
      <c r="A320" s="46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</row>
    <row r="321" spans="1:12" ht="13.5">
      <c r="A321" s="46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</row>
    <row r="322" spans="1:12" ht="13.5">
      <c r="A322" s="46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</row>
    <row r="323" spans="1:12" ht="13.5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</row>
    <row r="324" spans="1:12" ht="13.5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</row>
    <row r="325" spans="1:12" ht="13.5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</row>
    <row r="326" spans="1:12" ht="13.5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</row>
    <row r="327" spans="1:12" ht="13.5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</row>
    <row r="328" spans="1:12" ht="13.5">
      <c r="A328" s="46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</row>
    <row r="329" spans="1:12" ht="13.5">
      <c r="A329" s="46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</row>
    <row r="330" spans="1:12" ht="13.5">
      <c r="A330" s="46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</row>
    <row r="331" spans="1:12" ht="13.5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</row>
    <row r="332" spans="1:12" ht="13.5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</row>
    <row r="333" spans="1:12" ht="13.5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</row>
    <row r="334" spans="1:12" ht="13.5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</row>
    <row r="335" spans="1:12" ht="13.5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</row>
    <row r="336" spans="1:12" ht="13.5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</row>
    <row r="337" spans="1:12" ht="13.5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</row>
    <row r="338" spans="1:12" ht="13.5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</row>
    <row r="339" spans="1:12" ht="13.5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</row>
    <row r="340" spans="1:12" ht="13.5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</row>
    <row r="341" spans="1:12" ht="13.5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</row>
    <row r="342" spans="1:12" ht="13.5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</row>
    <row r="343" spans="1:12" ht="13.5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</row>
    <row r="344" spans="1:12" ht="13.5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</row>
    <row r="345" spans="1:12" ht="13.5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</row>
    <row r="346" spans="1:12" ht="13.5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</row>
    <row r="347" spans="1:12" ht="13.5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</row>
    <row r="348" spans="1:12" ht="13.5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</row>
    <row r="349" spans="1:12" ht="13.5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</row>
    <row r="350" spans="1:12" ht="13.5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</row>
    <row r="351" spans="1:12" ht="13.5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</row>
    <row r="352" spans="1:12" ht="13.5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</row>
    <row r="353" spans="1:12" ht="13.5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</row>
    <row r="354" spans="1:12" ht="13.5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</row>
    <row r="355" spans="1:12" ht="13.5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</row>
    <row r="356" spans="1:12" ht="13.5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</row>
    <row r="357" spans="1:12" ht="13.5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</row>
    <row r="358" spans="1:12" ht="13.5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</row>
    <row r="359" spans="1:12" ht="13.5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</row>
    <row r="360" spans="1:12" ht="13.5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</row>
    <row r="361" spans="1:12" ht="13.5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</row>
    <row r="362" spans="1:12" ht="13.5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</row>
    <row r="363" spans="1:12" ht="13.5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</row>
    <row r="364" spans="1:12" ht="13.5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</row>
    <row r="365" spans="1:12" ht="13.5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</row>
    <row r="366" spans="1:12" ht="13.5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</row>
    <row r="367" spans="1:12" ht="13.5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</row>
    <row r="368" spans="1:12" ht="13.5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</row>
    <row r="369" spans="1:12" ht="13.5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</row>
    <row r="370" spans="1:12" ht="13.5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</row>
    <row r="371" spans="1:12" ht="13.5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</row>
    <row r="372" spans="1:12" ht="13.5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</row>
    <row r="373" spans="1:12" ht="13.5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</row>
    <row r="374" spans="1:12" ht="13.5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</row>
    <row r="375" spans="1:12" ht="13.5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</row>
    <row r="376" spans="1:12" ht="13.5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</row>
    <row r="377" spans="1:12" ht="13.5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</row>
    <row r="378" spans="1:12" ht="13.5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</row>
    <row r="379" spans="1:12" ht="13.5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</row>
    <row r="380" spans="1:12" ht="13.5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</row>
    <row r="381" spans="1:12" ht="13.5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</row>
    <row r="382" spans="1:12" ht="13.5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</row>
    <row r="383" spans="1:12" ht="13.5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</row>
    <row r="384" spans="1:12" ht="13.5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</row>
    <row r="385" spans="1:12" ht="13.5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</row>
    <row r="386" spans="1:12" ht="13.5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</row>
    <row r="387" spans="1:12" ht="13.5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</row>
    <row r="388" spans="1:12" ht="13.5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</row>
    <row r="389" spans="1:12" ht="13.5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</row>
    <row r="390" spans="1:12" ht="13.5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</row>
    <row r="391" spans="1:12" ht="13.5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</row>
    <row r="392" spans="1:12" ht="13.5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</row>
    <row r="393" spans="1:12" ht="13.5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</row>
    <row r="394" spans="1:12" ht="13.5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</row>
    <row r="395" spans="1:12" ht="13.5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</row>
    <row r="396" spans="1:12" ht="13.5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</row>
    <row r="397" spans="1:12" ht="13.5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</row>
    <row r="398" spans="1:12" ht="13.5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</row>
    <row r="399" spans="1:12" ht="13.5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</row>
    <row r="400" spans="1:12" ht="13.5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</row>
    <row r="401" spans="1:12" ht="13.5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</row>
    <row r="402" spans="1:12" ht="13.5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</row>
    <row r="403" spans="1:12" ht="13.5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</row>
    <row r="404" spans="1:12" ht="13.5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</row>
    <row r="405" spans="1:12" ht="13.5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</row>
    <row r="406" spans="1:12" ht="13.5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</row>
    <row r="407" spans="1:12" ht="13.5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</row>
    <row r="408" spans="1:12" ht="13.5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</row>
    <row r="409" spans="1:12" ht="13.5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</row>
    <row r="410" spans="1:12" ht="13.5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</row>
    <row r="411" spans="1:12" ht="13.5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</row>
    <row r="412" spans="1:12" ht="13.5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</row>
    <row r="413" spans="1:12" ht="13.5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</row>
    <row r="414" spans="1:12" ht="13.5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</row>
    <row r="415" spans="1:12" ht="13.5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</row>
    <row r="416" spans="1:12" ht="13.5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</row>
    <row r="417" spans="1:12" ht="13.5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</row>
    <row r="418" spans="1:12" ht="13.5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</row>
    <row r="419" spans="1:12" ht="13.5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</row>
    <row r="420" spans="1:12" ht="13.5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</row>
    <row r="421" spans="1:12" ht="13.5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</row>
    <row r="422" spans="1:12" ht="13.5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</row>
    <row r="423" spans="1:12" ht="13.5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</row>
    <row r="424" spans="1:12" ht="13.5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</row>
    <row r="425" spans="1:12" ht="13.5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</row>
    <row r="426" spans="1:12" ht="13.5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</row>
    <row r="427" spans="1:12" ht="13.5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</row>
    <row r="428" spans="1:12" ht="13.5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</row>
    <row r="429" spans="1:12" ht="13.5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</row>
    <row r="430" spans="1:12" ht="13.5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</row>
    <row r="431" spans="1:12" ht="13.5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</row>
    <row r="432" spans="1:12" ht="13.5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</row>
    <row r="433" spans="1:12" ht="13.5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</row>
    <row r="434" spans="1:12" ht="13.5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</row>
    <row r="435" spans="1:12" ht="13.5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</row>
    <row r="436" spans="1:12" ht="13.5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</row>
    <row r="437" spans="1:12" ht="13.5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</row>
    <row r="438" spans="1:12" ht="13.5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</row>
    <row r="439" spans="1:12" ht="13.5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</row>
    <row r="440" spans="1:12" ht="13.5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</row>
    <row r="441" spans="1:12" ht="13.5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</row>
    <row r="442" spans="1:12" ht="13.5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</row>
    <row r="443" spans="1:12" ht="13.5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</row>
    <row r="444" spans="1:12" ht="13.5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</row>
    <row r="445" spans="1:12" ht="13.5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</row>
    <row r="446" spans="1:12" ht="13.5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</row>
    <row r="447" spans="1:12" ht="13.5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</row>
    <row r="448" spans="1:12" ht="13.5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</row>
    <row r="449" spans="1:12" ht="13.5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</row>
    <row r="450" spans="1:12" ht="13.5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</row>
    <row r="451" spans="1:12" ht="13.5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</row>
    <row r="452" spans="1:12" ht="13.5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</row>
    <row r="453" spans="1:12" ht="13.5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</row>
    <row r="454" spans="1:12" ht="13.5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</row>
    <row r="455" spans="1:12" ht="13.5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</row>
    <row r="456" spans="1:12" ht="13.5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</row>
    <row r="457" spans="1:12" ht="13.5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</row>
    <row r="458" spans="1:12" ht="13.5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</row>
    <row r="459" spans="1:12" ht="13.5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</row>
    <row r="460" spans="1:12" ht="13.5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</row>
    <row r="461" spans="1:12" ht="13.5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</row>
    <row r="462" spans="1:12" ht="13.5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</row>
    <row r="463" spans="1:12" ht="13.5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</row>
    <row r="464" spans="1:12" ht="13.5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</row>
    <row r="465" spans="1:12" ht="13.5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</row>
    <row r="466" spans="1:12" ht="13.5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</row>
    <row r="467" spans="1:12" ht="13.5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</row>
    <row r="468" spans="1:12" ht="13.5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</row>
    <row r="469" spans="1:12" ht="13.5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</row>
    <row r="470" spans="1:12" ht="13.5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</row>
    <row r="471" spans="1:12" ht="13.5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</row>
    <row r="472" spans="1:12" ht="13.5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</row>
    <row r="473" spans="1:12" ht="13.5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</row>
    <row r="474" spans="1:12" ht="13.5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</row>
    <row r="475" spans="1:12" ht="13.5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</row>
    <row r="476" spans="1:12" ht="13.5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</row>
    <row r="477" spans="1:12" ht="13.5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</row>
    <row r="478" spans="1:12" ht="13.5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</row>
    <row r="479" spans="1:12" ht="13.5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</row>
    <row r="480" spans="1:12" ht="13.5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</row>
    <row r="481" spans="1:12" ht="13.5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</row>
    <row r="482" spans="1:12" ht="13.5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</row>
    <row r="483" spans="1:12" ht="13.5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</row>
    <row r="484" spans="1:12" ht="13.5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</row>
    <row r="485" spans="1:12" ht="13.5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</row>
    <row r="486" spans="1:12" ht="13.5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</row>
    <row r="487" spans="1:12" ht="13.5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</row>
    <row r="488" spans="1:12" ht="13.5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</row>
    <row r="489" spans="1:12" ht="13.5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</row>
    <row r="490" spans="1:12" ht="13.5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</row>
    <row r="491" spans="1:12" ht="13.5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</row>
    <row r="492" spans="1:12" ht="13.5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</row>
    <row r="493" spans="1:12" ht="13.5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</row>
    <row r="494" spans="1:12" ht="13.5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</row>
    <row r="495" spans="1:12" ht="13.5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</row>
    <row r="496" spans="1:12" ht="13.5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</row>
    <row r="497" spans="1:12" ht="13.5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</row>
    <row r="498" spans="1:12" ht="13.5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</row>
    <row r="499" spans="1:12" ht="13.5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</row>
    <row r="500" spans="1:12" ht="13.5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</row>
    <row r="501" spans="1:12" ht="13.5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</row>
    <row r="502" spans="1:12" ht="13.5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</row>
    <row r="503" spans="1:12" ht="13.5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</row>
    <row r="504" spans="1:12" ht="13.5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</row>
    <row r="505" spans="1:12" ht="13.5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</row>
    <row r="506" spans="1:12" ht="13.5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</row>
    <row r="507" spans="1:12" ht="13.5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</row>
    <row r="508" spans="1:12" ht="13.5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</row>
    <row r="509" spans="1:12" ht="13.5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</row>
    <row r="510" spans="1:12" ht="13.5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</row>
    <row r="511" spans="1:12" ht="13.5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</row>
    <row r="512" spans="1:12" ht="13.5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</row>
    <row r="513" spans="1:12" ht="13.5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</row>
    <row r="514" spans="1:12" ht="13.5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</row>
    <row r="515" spans="1:12" ht="13.5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</row>
    <row r="516" spans="1:12" ht="13.5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</row>
    <row r="517" spans="1:12" ht="13.5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</row>
    <row r="518" spans="1:12" ht="13.5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</row>
    <row r="519" spans="1:12" ht="13.5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</row>
    <row r="520" spans="1:12" ht="13.5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</row>
    <row r="521" spans="1:12" ht="13.5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</row>
    <row r="522" spans="1:12" ht="13.5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</row>
    <row r="523" spans="1:12" ht="13.5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</row>
    <row r="524" spans="1:12" ht="13.5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</row>
    <row r="525" spans="1:12" ht="13.5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</row>
    <row r="526" spans="1:12" ht="13.5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</row>
    <row r="527" spans="1:12" ht="13.5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</row>
    <row r="528" spans="1:12" ht="13.5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</row>
    <row r="529" spans="1:12" ht="13.5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</row>
    <row r="530" spans="1:12" ht="13.5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</row>
    <row r="531" spans="1:12" ht="13.5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</row>
    <row r="532" spans="1:12" ht="13.5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</row>
    <row r="533" spans="1:12" ht="13.5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</row>
    <row r="534" spans="1:12" ht="13.5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</row>
    <row r="535" spans="1:12" ht="13.5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</row>
    <row r="536" spans="1:12" ht="13.5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</row>
    <row r="537" spans="1:12" ht="13.5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</row>
    <row r="538" spans="1:12" ht="13.5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</row>
    <row r="539" spans="1:12" ht="13.5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</row>
    <row r="540" spans="1:12" ht="13.5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</row>
    <row r="541" spans="1:12" ht="13.5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</row>
    <row r="542" spans="1:12" ht="13.5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</row>
    <row r="543" spans="1:12" ht="13.5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</row>
    <row r="544" spans="1:12" ht="13.5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</row>
    <row r="545" spans="1:12" ht="13.5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</row>
    <row r="546" spans="1:12" ht="13.5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</row>
    <row r="547" spans="1:12" ht="13.5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</row>
    <row r="548" spans="1:12" ht="13.5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</row>
    <row r="549" spans="1:12" ht="13.5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</row>
    <row r="550" spans="1:12" ht="13.5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</row>
    <row r="551" spans="1:12" ht="13.5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</row>
    <row r="552" spans="1:12" ht="13.5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</row>
    <row r="553" spans="1:12" ht="13.5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</row>
    <row r="554" spans="1:12" ht="13.5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</row>
    <row r="555" spans="1:12" ht="13.5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</row>
    <row r="556" spans="1:12" ht="13.5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</row>
    <row r="557" spans="1:12" ht="13.5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</row>
    <row r="558" spans="1:12" ht="13.5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</row>
    <row r="559" spans="1:12" ht="13.5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</row>
    <row r="560" spans="1:12" ht="13.5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</row>
    <row r="561" spans="1:12" ht="13.5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</row>
    <row r="562" spans="1:12" ht="13.5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</row>
    <row r="563" spans="1:12" ht="13.5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</row>
    <row r="564" spans="1:12" ht="13.5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</row>
    <row r="565" spans="1:12" ht="13.5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</row>
    <row r="566" spans="1:12" ht="13.5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</row>
    <row r="567" spans="1:12" ht="13.5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</row>
    <row r="568" spans="1:12" ht="13.5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</row>
    <row r="569" spans="1:12" ht="13.5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</row>
    <row r="570" spans="1:12" ht="13.5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</row>
    <row r="571" spans="1:12" ht="13.5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</row>
    <row r="572" spans="1:12" ht="13.5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</row>
    <row r="573" spans="1:12" ht="13.5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</row>
    <row r="574" spans="1:12" ht="13.5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</row>
    <row r="575" spans="1:12" ht="13.5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</row>
    <row r="576" spans="1:12" ht="13.5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</row>
    <row r="577" spans="1:12" ht="13.5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</row>
    <row r="578" spans="1:12" ht="13.5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</row>
    <row r="579" spans="1:12" ht="13.5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</row>
    <row r="580" spans="1:12" ht="13.5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</row>
    <row r="581" spans="1:12" ht="13.5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</row>
    <row r="582" spans="1:12" ht="13.5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</row>
    <row r="583" spans="1:12" ht="13.5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</row>
    <row r="584" spans="1:12" ht="13.5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</row>
    <row r="585" spans="1:12" ht="13.5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</row>
    <row r="586" spans="1:12" ht="13.5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</row>
    <row r="587" spans="1:12" ht="13.5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</row>
    <row r="588" spans="1:12" ht="13.5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</row>
    <row r="589" spans="1:12" ht="13.5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</row>
    <row r="590" spans="1:12" ht="13.5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</row>
    <row r="591" spans="1:12" ht="13.5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</row>
    <row r="592" spans="1:12" ht="13.5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</row>
    <row r="593" spans="1:12" ht="13.5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</row>
    <row r="594" spans="1:12" ht="13.5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</row>
    <row r="595" spans="1:12" ht="13.5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</row>
    <row r="596" spans="1:12" ht="13.5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</row>
    <row r="597" spans="1:12" ht="13.5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</row>
    <row r="598" spans="1:12" ht="13.5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</row>
    <row r="599" spans="1:12" ht="13.5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</row>
    <row r="600" spans="1:12" ht="13.5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</row>
    <row r="601" spans="1:12" ht="13.5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</row>
    <row r="602" spans="1:12" ht="13.5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</row>
    <row r="603" spans="1:12" ht="13.5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</row>
    <row r="604" spans="1:12" ht="13.5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</row>
    <row r="605" spans="1:12" ht="13.5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</row>
    <row r="606" spans="1:12" ht="13.5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</row>
    <row r="607" spans="1:12" ht="13.5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</row>
    <row r="608" spans="1:12" ht="13.5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</row>
    <row r="609" spans="1:12" ht="13.5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</row>
    <row r="610" spans="1:12" ht="13.5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</row>
    <row r="611" spans="1:12" ht="13.5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</row>
    <row r="612" spans="1:12" ht="13.5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</row>
    <row r="613" spans="1:12" ht="13.5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</row>
    <row r="614" spans="1:12" ht="13.5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</row>
    <row r="615" spans="1:12" ht="13.5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</row>
    <row r="616" spans="1:12" ht="13.5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</row>
    <row r="617" spans="1:12" ht="13.5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</row>
    <row r="618" spans="1:12" ht="13.5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</row>
    <row r="619" spans="1:12" ht="13.5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</row>
    <row r="620" spans="1:12" ht="13.5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</row>
    <row r="621" spans="1:12" ht="13.5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</row>
    <row r="622" spans="1:12" ht="13.5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</row>
    <row r="623" spans="1:12" ht="13.5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</row>
    <row r="624" spans="1:12" ht="13.5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</row>
    <row r="625" spans="1:12" ht="13.5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</row>
    <row r="626" spans="1:12" ht="13.5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</row>
    <row r="627" spans="1:12" ht="13.5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</row>
    <row r="628" spans="1:12" ht="13.5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</row>
    <row r="629" spans="1:12" ht="13.5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</row>
    <row r="630" spans="1:12" ht="13.5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</row>
    <row r="631" spans="1:12" ht="13.5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</row>
    <row r="632" spans="1:12" ht="13.5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</row>
    <row r="633" spans="1:12" ht="13.5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</row>
    <row r="634" spans="1:12" ht="13.5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</row>
    <row r="635" spans="1:12" ht="13.5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</row>
    <row r="636" spans="1:12" ht="13.5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</row>
    <row r="637" spans="1:12" ht="13.5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</row>
    <row r="638" spans="1:12" ht="13.5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</row>
    <row r="639" spans="1:12" ht="13.5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</row>
    <row r="640" spans="1:12" ht="13.5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</row>
    <row r="641" spans="1:12" ht="13.5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</row>
    <row r="642" spans="1:12" ht="13.5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</row>
    <row r="643" spans="1:12" ht="13.5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</row>
    <row r="644" spans="1:12" ht="13.5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</row>
    <row r="645" spans="1:12" ht="13.5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</row>
    <row r="646" spans="1:12" ht="13.5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</row>
    <row r="647" spans="1:12" ht="13.5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</row>
    <row r="648" spans="1:12" ht="13.5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</row>
    <row r="649" spans="1:12" ht="13.5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</row>
    <row r="650" spans="1:12" ht="13.5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</row>
    <row r="651" spans="1:12" ht="13.5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</row>
    <row r="652" spans="1:12" ht="13.5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</row>
    <row r="653" spans="1:12" ht="13.5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</row>
    <row r="654" spans="1:12" ht="13.5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</row>
    <row r="655" spans="1:12" ht="13.5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</row>
    <row r="656" spans="1:12" ht="13.5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</row>
    <row r="657" spans="1:12" ht="13.5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</row>
    <row r="658" spans="1:12" ht="13.5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</row>
    <row r="659" spans="1:12" ht="13.5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</row>
    <row r="660" spans="1:12" ht="13.5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</row>
    <row r="661" spans="1:12" ht="13.5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</row>
    <row r="662" spans="1:12" ht="13.5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</row>
    <row r="663" spans="1:12" ht="13.5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</row>
    <row r="664" spans="1:12" ht="13.5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</row>
    <row r="665" spans="1:12" ht="13.5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</row>
    <row r="666" spans="1:12" ht="13.5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</row>
    <row r="667" spans="1:12" ht="13.5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</row>
    <row r="668" spans="1:12" ht="13.5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</row>
    <row r="669" spans="1:12" ht="13.5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</row>
    <row r="670" spans="1:12" ht="13.5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</row>
    <row r="671" spans="1:12" ht="13.5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</row>
    <row r="672" spans="1:12" ht="13.5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</row>
    <row r="673" spans="1:12" ht="13.5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</row>
    <row r="674" spans="1:12" ht="13.5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</row>
    <row r="675" spans="1:12" ht="13.5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</row>
    <row r="676" spans="1:12" ht="13.5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</row>
    <row r="677" spans="1:12" ht="13.5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</row>
    <row r="678" spans="1:12" ht="13.5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</row>
    <row r="679" spans="1:12" ht="13.5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</row>
    <row r="680" spans="1:12" ht="13.5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</row>
    <row r="681" spans="1:12" ht="13.5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</row>
    <row r="682" spans="1:12" ht="13.5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</row>
    <row r="683" spans="1:12" ht="13.5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</row>
    <row r="684" spans="1:12" ht="13.5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</row>
    <row r="685" spans="1:12" ht="13.5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</row>
    <row r="686" spans="1:12" ht="13.5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</row>
    <row r="687" spans="1:12" ht="13.5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</row>
    <row r="688" spans="1:12" ht="13.5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</row>
    <row r="689" spans="1:12" ht="13.5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</row>
    <row r="690" spans="1:12" ht="13.5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</row>
    <row r="691" spans="1:12" ht="13.5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</row>
    <row r="692" spans="1:12" ht="13.5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</row>
    <row r="693" spans="1:12" ht="13.5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</row>
    <row r="694" spans="1:12" ht="13.5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</row>
    <row r="695" spans="1:12" ht="13.5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</row>
    <row r="696" spans="1:12" ht="13.5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</row>
    <row r="697" spans="1:12" ht="13.5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</row>
    <row r="698" spans="1:12" ht="13.5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</row>
    <row r="699" spans="1:12" ht="13.5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</row>
    <row r="700" spans="1:12" ht="13.5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</row>
    <row r="701" spans="1:12" ht="13.5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</row>
    <row r="702" spans="1:12" ht="13.5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</row>
    <row r="703" spans="1:12" ht="13.5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</row>
    <row r="704" spans="1:12" ht="13.5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</row>
    <row r="705" spans="1:12" ht="13.5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</row>
    <row r="706" spans="1:12" ht="13.5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</row>
    <row r="707" spans="1:12" ht="13.5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</row>
    <row r="708" spans="1:12" ht="13.5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</row>
    <row r="709" spans="1:12" ht="13.5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</row>
    <row r="710" spans="1:12" ht="13.5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</row>
    <row r="711" spans="1:12" ht="13.5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</row>
    <row r="712" spans="1:12" ht="13.5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</row>
    <row r="713" spans="1:12" ht="13.5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</row>
    <row r="714" spans="1:12" ht="13.5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</row>
    <row r="715" spans="1:12" ht="13.5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</row>
    <row r="716" spans="1:12" ht="13.5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</row>
    <row r="717" spans="1:12" ht="13.5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</row>
    <row r="718" spans="1:12" ht="13.5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</row>
    <row r="719" spans="1:12" ht="13.5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</row>
    <row r="720" spans="1:12" ht="13.5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</row>
    <row r="721" spans="1:12" ht="13.5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</row>
    <row r="722" spans="1:12" ht="13.5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</row>
    <row r="723" spans="1:12" ht="13.5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</row>
    <row r="724" spans="1:12" ht="13.5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</row>
    <row r="725" spans="1:12" ht="13.5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</row>
    <row r="726" spans="1:12" ht="13.5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</row>
    <row r="727" spans="1:12" ht="13.5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</row>
    <row r="728" spans="1:12" ht="13.5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</row>
    <row r="729" spans="1:12" ht="13.5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</row>
    <row r="730" spans="1:12" ht="13.5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</row>
    <row r="731" spans="1:12" ht="13.5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</row>
    <row r="732" spans="1:12" ht="13.5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</row>
    <row r="733" spans="1:12" ht="13.5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</row>
    <row r="734" spans="1:12" ht="13.5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</row>
    <row r="735" spans="1:12" ht="13.5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</row>
    <row r="736" spans="1:12" ht="13.5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</row>
    <row r="737" spans="1:12" ht="13.5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</row>
    <row r="738" spans="1:12" ht="13.5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</row>
    <row r="739" spans="1:12" ht="13.5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</row>
    <row r="740" spans="1:12" ht="13.5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</row>
    <row r="741" spans="1:12" ht="13.5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</row>
    <row r="742" spans="1:12" ht="13.5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</row>
    <row r="743" spans="1:12" ht="13.5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</row>
    <row r="744" spans="1:12" ht="13.5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</row>
    <row r="745" spans="1:12" ht="13.5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</row>
    <row r="746" spans="1:12" ht="13.5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</row>
    <row r="747" spans="1:12" ht="13.5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</row>
    <row r="748" spans="1:12" ht="13.5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</row>
    <row r="749" spans="1:12" ht="13.5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</row>
    <row r="750" spans="1:12" ht="13.5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</row>
    <row r="751" spans="1:12" ht="13.5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</row>
    <row r="752" spans="1:12" ht="13.5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</row>
    <row r="753" spans="1:12" ht="13.5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</row>
    <row r="754" spans="1:12" ht="13.5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</row>
    <row r="755" spans="1:12" ht="13.5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</row>
    <row r="756" spans="1:12" ht="13.5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</row>
    <row r="757" spans="1:12" ht="13.5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</row>
    <row r="758" spans="1:12" ht="13.5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</row>
    <row r="759" spans="1:12" ht="13.5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</row>
    <row r="760" spans="1:12" ht="13.5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</row>
    <row r="761" spans="1:12" ht="13.5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</row>
    <row r="762" spans="1:12" ht="13.5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</row>
    <row r="763" spans="1:12" ht="13.5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</row>
    <row r="764" spans="1:12" ht="13.5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</row>
    <row r="765" spans="1:12" ht="13.5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</row>
    <row r="766" spans="1:12" ht="13.5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</row>
    <row r="767" spans="1:12" ht="13.5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</row>
    <row r="768" spans="1:12" ht="13.5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</row>
    <row r="769" spans="1:12" ht="13.5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</row>
    <row r="770" spans="1:12" ht="13.5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</row>
    <row r="771" spans="1:12" ht="13.5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</row>
    <row r="772" spans="1:12" ht="13.5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</row>
    <row r="773" spans="1:12" ht="13.5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</row>
    <row r="774" spans="1:12" ht="13.5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</row>
    <row r="775" spans="1:12" ht="13.5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</row>
    <row r="776" spans="1:12" ht="13.5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</row>
    <row r="777" spans="1:12" ht="13.5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</row>
    <row r="778" spans="1:12" ht="13.5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</row>
    <row r="779" spans="1:12" ht="13.5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</row>
    <row r="780" spans="1:12" ht="13.5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</row>
    <row r="781" spans="1:12" ht="13.5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</row>
    <row r="782" spans="1:12" ht="13.5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</row>
    <row r="783" spans="1:12" ht="13.5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</row>
    <row r="784" spans="1:12" ht="13.5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</row>
    <row r="785" spans="1:12" ht="13.5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</row>
    <row r="786" spans="1:12" ht="13.5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</row>
    <row r="787" spans="1:12" ht="13.5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</row>
    <row r="788" spans="1:12" ht="13.5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</row>
    <row r="789" spans="1:12" ht="13.5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</row>
    <row r="790" spans="1:12" ht="13.5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</row>
    <row r="791" spans="1:12" ht="13.5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</row>
    <row r="792" spans="1:12" ht="13.5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</row>
    <row r="793" spans="1:12" ht="13.5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</row>
    <row r="794" spans="1:12" ht="13.5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</row>
    <row r="795" spans="1:12" ht="13.5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</row>
    <row r="796" spans="1:12" ht="13.5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</row>
    <row r="797" spans="1:12" ht="13.5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</row>
    <row r="798" spans="1:12" ht="13.5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</row>
    <row r="799" spans="1:12" ht="13.5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</row>
    <row r="800" spans="1:12" ht="13.5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</row>
    <row r="801" spans="1:12" ht="13.5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</row>
    <row r="802" spans="1:12" ht="13.5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</row>
    <row r="803" spans="1:12" ht="13.5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</row>
    <row r="804" spans="1:12" ht="13.5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</row>
    <row r="805" spans="1:12" ht="13.5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</row>
    <row r="806" spans="1:12" ht="13.5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</row>
    <row r="807" spans="1:12" ht="13.5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</row>
    <row r="808" spans="1:12" ht="13.5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</row>
    <row r="809" spans="1:12" ht="13.5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</row>
    <row r="810" spans="1:12" ht="13.5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</row>
    <row r="811" spans="1:12" ht="13.5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</row>
    <row r="812" spans="1:12" ht="13.5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</row>
    <row r="813" spans="1:12" ht="13.5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</row>
    <row r="814" spans="1:12" ht="13.5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</row>
    <row r="815" spans="1:12" ht="13.5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</row>
    <row r="816" spans="1:12" ht="13.5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</row>
    <row r="817" spans="1:12" ht="13.5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</row>
    <row r="818" spans="1:12" ht="13.5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</row>
    <row r="819" spans="1:12" ht="13.5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</row>
    <row r="820" spans="1:12" ht="13.5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</row>
    <row r="821" spans="1:12" ht="13.5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</row>
    <row r="822" spans="1:12" ht="13.5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</row>
    <row r="823" spans="1:12" ht="13.5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</row>
    <row r="824" spans="1:12" ht="13.5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</row>
    <row r="825" spans="1:12" ht="13.5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</row>
    <row r="826" spans="1:12" ht="13.5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</row>
    <row r="827" spans="1:12" ht="13.5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</row>
    <row r="828" spans="1:12" ht="13.5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</row>
    <row r="829" spans="1:12" ht="13.5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</row>
    <row r="830" spans="1:12" ht="13.5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</row>
    <row r="831" spans="1:12" ht="13.5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</row>
    <row r="832" spans="1:12" ht="13.5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</row>
    <row r="833" spans="1:12" ht="13.5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</row>
    <row r="834" spans="1:12" ht="13.5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</row>
    <row r="835" spans="1:12" ht="13.5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</row>
    <row r="836" spans="1:12" ht="13.5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</row>
    <row r="837" spans="1:12" ht="13.5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</row>
    <row r="838" spans="1:12" ht="13.5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</row>
    <row r="839" spans="1:12" ht="13.5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</row>
    <row r="840" spans="1:12" ht="13.5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</row>
    <row r="841" spans="1:12" ht="13.5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</row>
    <row r="842" spans="1:12" ht="13.5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</row>
    <row r="843" spans="1:12" ht="13.5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</row>
    <row r="844" spans="1:12" ht="13.5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</row>
    <row r="845" spans="1:12" ht="13.5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</row>
    <row r="846" spans="1:12" ht="13.5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</row>
    <row r="847" spans="1:12" ht="13.5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</row>
    <row r="848" spans="1:12" ht="13.5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</row>
    <row r="849" spans="1:12" ht="13.5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</row>
    <row r="850" spans="1:12" ht="13.5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</row>
    <row r="851" spans="1:12" ht="13.5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</row>
    <row r="852" spans="1:12" ht="13.5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</row>
    <row r="853" spans="1:12" ht="13.5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</row>
    <row r="854" spans="1:12" ht="13.5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</row>
    <row r="855" spans="1:12" ht="13.5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</row>
    <row r="856" spans="1:12" ht="13.5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</row>
    <row r="857" spans="1:12" ht="13.5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</row>
    <row r="858" spans="1:12" ht="13.5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</row>
    <row r="859" spans="1:12" ht="13.5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</row>
    <row r="860" spans="1:12" ht="13.5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</row>
    <row r="861" spans="1:12" ht="13.5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</row>
    <row r="862" spans="1:12" ht="13.5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</row>
    <row r="863" spans="1:12" ht="13.5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</row>
    <row r="864" spans="1:12" ht="13.5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</row>
    <row r="865" spans="1:12" ht="13.5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</row>
    <row r="866" spans="1:12" ht="13.5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</row>
    <row r="867" spans="1:12" ht="13.5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</row>
    <row r="868" spans="1:12" ht="13.5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</row>
    <row r="869" spans="1:12" ht="13.5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</row>
    <row r="870" spans="1:12" ht="13.5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</row>
    <row r="871" spans="1:12" ht="13.5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</row>
    <row r="872" spans="1:12" ht="13.5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</row>
    <row r="873" spans="1:12" ht="13.5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</row>
    <row r="874" spans="1:12" ht="13.5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</row>
    <row r="875" spans="1:12" ht="13.5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</row>
    <row r="876" spans="1:12" ht="13.5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</row>
    <row r="877" spans="1:12" ht="13.5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</row>
    <row r="878" spans="1:12" ht="13.5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</row>
    <row r="879" spans="1:12" ht="13.5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</row>
    <row r="880" spans="1:12" ht="13.5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</row>
    <row r="881" spans="1:12" ht="13.5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</row>
    <row r="882" spans="1:12" ht="13.5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</row>
    <row r="883" spans="1:12" ht="13.5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</row>
    <row r="884" spans="1:12" ht="13.5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</row>
    <row r="885" spans="1:12" ht="13.5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</row>
    <row r="886" spans="1:12" ht="13.5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</row>
    <row r="887" spans="1:12" ht="13.5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</row>
    <row r="888" spans="1:12" ht="13.5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</row>
    <row r="889" spans="1:12" ht="13.5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</row>
    <row r="890" spans="1:12" ht="13.5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</row>
    <row r="891" spans="1:12" ht="13.5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</row>
    <row r="892" spans="1:12" ht="13.5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</row>
    <row r="893" spans="1:12" ht="13.5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</row>
    <row r="894" spans="1:12" ht="13.5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</row>
    <row r="895" spans="1:12" ht="13.5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</row>
    <row r="896" spans="1:12" ht="13.5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</row>
    <row r="897" spans="1:12" ht="13.5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</row>
    <row r="898" spans="1:12" ht="13.5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</row>
    <row r="899" spans="1:12" ht="13.5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</row>
    <row r="900" spans="1:12" ht="13.5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</row>
    <row r="901" spans="1:12" ht="13.5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</row>
    <row r="902" spans="1:12" ht="13.5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</row>
    <row r="903" spans="1:12" ht="13.5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</row>
    <row r="904" spans="1:12" ht="13.5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</row>
    <row r="905" spans="1:12" ht="13.5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</row>
    <row r="906" spans="1:12" ht="13.5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</row>
    <row r="907" spans="1:12" ht="13.5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</row>
    <row r="908" spans="1:12" ht="13.5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</row>
    <row r="909" spans="1:12" ht="13.5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</row>
    <row r="910" spans="1:12" ht="13.5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</row>
    <row r="911" spans="1:12" ht="13.5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</row>
    <row r="912" spans="1:12" ht="13.5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</row>
    <row r="913" spans="1:12" ht="13.5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</row>
    <row r="914" spans="1:12" ht="13.5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</row>
    <row r="915" spans="1:12" ht="13.5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</row>
    <row r="916" spans="1:12" ht="13.5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</row>
    <row r="917" spans="1:12" ht="13.5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</row>
    <row r="918" spans="1:12" ht="13.5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</row>
    <row r="919" spans="1:12" ht="13.5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</row>
    <row r="920" spans="1:12" ht="13.5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</row>
    <row r="921" spans="1:12" ht="13.5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</row>
    <row r="922" spans="1:12" ht="13.5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</row>
    <row r="923" spans="1:12" ht="13.5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</row>
    <row r="924" spans="1:12" ht="13.5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</row>
    <row r="925" spans="1:12" ht="13.5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</row>
    <row r="926" spans="1:12" ht="13.5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</row>
    <row r="927" spans="1:12" ht="13.5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</row>
    <row r="928" spans="1:12" ht="13.5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</row>
    <row r="929" spans="1:12" ht="13.5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</row>
    <row r="930" spans="1:12" ht="13.5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</row>
    <row r="931" spans="1:12" ht="13.5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</row>
    <row r="932" spans="1:12" ht="13.5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</row>
    <row r="933" spans="1:12" ht="13.5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</row>
    <row r="934" spans="1:12" ht="13.5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</row>
    <row r="935" spans="1:12" ht="13.5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</row>
    <row r="936" spans="1:12" ht="13.5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</row>
    <row r="937" spans="1:12" ht="13.5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</row>
    <row r="938" spans="1:12" ht="13.5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</row>
    <row r="939" spans="1:12" ht="13.5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</row>
    <row r="940" spans="1:12" ht="13.5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</row>
    <row r="941" spans="1:12" ht="13.5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</row>
    <row r="942" spans="1:12" ht="13.5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</row>
    <row r="943" spans="1:12" ht="13.5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</row>
    <row r="944" spans="1:12" ht="13.5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</row>
    <row r="945" spans="1:12" ht="13.5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</row>
    <row r="946" spans="1:12" ht="13.5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</row>
    <row r="947" spans="1:12" ht="13.5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</row>
    <row r="948" spans="1:12" ht="13.5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</row>
    <row r="949" spans="1:12" ht="13.5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</row>
    <row r="950" spans="1:12" ht="13.5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</row>
    <row r="951" spans="1:12" ht="13.5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</row>
    <row r="952" spans="1:12" ht="13.5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</row>
    <row r="953" spans="1:12" ht="13.5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</row>
    <row r="954" spans="1:12" ht="13.5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</row>
    <row r="955" spans="1:12" ht="13.5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</row>
    <row r="956" spans="1:12" ht="13.5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</row>
    <row r="957" spans="1:12" ht="13.5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</row>
    <row r="958" spans="1:12" ht="13.5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</row>
    <row r="959" spans="1:12" ht="13.5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</row>
    <row r="960" spans="1:12" ht="13.5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/>
    </row>
    <row r="961" spans="1:12" ht="13.5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</row>
    <row r="962" spans="1:12" ht="13.5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</row>
    <row r="963" spans="1:12" ht="13.5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</row>
    <row r="964" spans="1:12" ht="13.5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</row>
    <row r="965" spans="1:12" ht="13.5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</row>
    <row r="966" spans="1:12" ht="13.5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46"/>
    </row>
    <row r="967" spans="1:12" ht="13.5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46"/>
    </row>
    <row r="968" spans="1:12" ht="13.5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46"/>
    </row>
    <row r="969" spans="1:12" ht="13.5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46"/>
    </row>
    <row r="970" spans="1:12" ht="13.5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46"/>
    </row>
    <row r="971" spans="1:12" ht="13.5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46"/>
    </row>
    <row r="972" spans="1:12" ht="13.5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</row>
    <row r="973" spans="1:12" ht="13.5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</row>
    <row r="974" spans="1:12" ht="13.5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6"/>
    </row>
    <row r="975" spans="1:12" ht="13.5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</row>
    <row r="976" spans="1:12" ht="13.5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46"/>
    </row>
    <row r="977" spans="1:12" ht="13.5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6"/>
    </row>
    <row r="978" spans="1:12" ht="13.5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46"/>
    </row>
    <row r="979" spans="1:12" ht="13.5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46"/>
    </row>
    <row r="980" spans="1:12" ht="13.5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46"/>
    </row>
    <row r="981" spans="1:12" ht="13.5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46"/>
    </row>
    <row r="982" spans="1:12" ht="13.5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46"/>
    </row>
    <row r="983" spans="1:12" ht="13.5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46"/>
    </row>
    <row r="984" spans="1:12" ht="13.5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46"/>
    </row>
    <row r="985" spans="1:12" ht="13.5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46"/>
    </row>
    <row r="986" spans="1:12" ht="13.5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46"/>
    </row>
    <row r="987" spans="1:12" ht="13.5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46"/>
    </row>
    <row r="988" spans="1:12" ht="13.5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46"/>
    </row>
    <row r="989" spans="1:12" ht="13.5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46"/>
    </row>
    <row r="990" spans="1:12" ht="13.5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46"/>
    </row>
    <row r="991" spans="1:12" ht="13.5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46"/>
    </row>
    <row r="992" spans="1:12" ht="13.5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46"/>
    </row>
    <row r="993" spans="1:12" ht="13.5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46"/>
    </row>
    <row r="994" spans="1:12" ht="13.5">
      <c r="A994" s="46"/>
      <c r="B994" s="46"/>
      <c r="C994" s="46"/>
      <c r="D994" s="46"/>
      <c r="E994" s="46"/>
      <c r="F994" s="46"/>
      <c r="G994" s="46"/>
      <c r="H994" s="46"/>
      <c r="I994" s="46"/>
      <c r="J994" s="46"/>
      <c r="K994" s="46"/>
      <c r="L994" s="46"/>
    </row>
  </sheetData>
  <mergeCells count="92">
    <mergeCell ref="G26:H26"/>
    <mergeCell ref="K26:L26"/>
    <mergeCell ref="I26:J26"/>
    <mergeCell ref="K25:L25"/>
    <mergeCell ref="I25:J25"/>
    <mergeCell ref="E40:H40"/>
    <mergeCell ref="I40:J40"/>
    <mergeCell ref="K40:L40"/>
    <mergeCell ref="K27:L27"/>
    <mergeCell ref="I27:J27"/>
    <mergeCell ref="G27:H27"/>
    <mergeCell ref="G43:H43"/>
    <mergeCell ref="I43:J43"/>
    <mergeCell ref="K43:L43"/>
    <mergeCell ref="A44:L44"/>
    <mergeCell ref="I41:J41"/>
    <mergeCell ref="K41:L41"/>
    <mergeCell ref="G42:H42"/>
    <mergeCell ref="I42:J42"/>
    <mergeCell ref="K42:L42"/>
    <mergeCell ref="A42:D42"/>
    <mergeCell ref="A43:D43"/>
    <mergeCell ref="H5:L5"/>
    <mergeCell ref="H6:L6"/>
    <mergeCell ref="B8:D8"/>
    <mergeCell ref="H8:L8"/>
    <mergeCell ref="D1:I2"/>
    <mergeCell ref="B4:D4"/>
    <mergeCell ref="F4:F8"/>
    <mergeCell ref="H4:I4"/>
    <mergeCell ref="K4:L4"/>
    <mergeCell ref="A5:C5"/>
    <mergeCell ref="A7:A8"/>
    <mergeCell ref="K7:L7"/>
    <mergeCell ref="E25:F25"/>
    <mergeCell ref="A22:D22"/>
    <mergeCell ref="E22:F22"/>
    <mergeCell ref="A23:A24"/>
    <mergeCell ref="G23:H23"/>
    <mergeCell ref="G24:H24"/>
    <mergeCell ref="A13:D13"/>
    <mergeCell ref="A17:A18"/>
    <mergeCell ref="G18:H18"/>
    <mergeCell ref="G20:H20"/>
    <mergeCell ref="E19:F19"/>
    <mergeCell ref="A14:D14"/>
    <mergeCell ref="E14:F14"/>
    <mergeCell ref="G15:H15"/>
    <mergeCell ref="A15:A16"/>
    <mergeCell ref="G16:H16"/>
    <mergeCell ref="H7:I7"/>
    <mergeCell ref="I14:J14"/>
    <mergeCell ref="I16:J16"/>
    <mergeCell ref="I17:J17"/>
    <mergeCell ref="I15:J15"/>
    <mergeCell ref="I13:J13"/>
    <mergeCell ref="A6:D6"/>
    <mergeCell ref="B7:D7"/>
    <mergeCell ref="B10:D10"/>
    <mergeCell ref="F10:G10"/>
    <mergeCell ref="B11:D11"/>
    <mergeCell ref="F11:G11"/>
    <mergeCell ref="I23:J23"/>
    <mergeCell ref="K23:L23"/>
    <mergeCell ref="I24:J24"/>
    <mergeCell ref="K15:L15"/>
    <mergeCell ref="K17:L17"/>
    <mergeCell ref="I18:J18"/>
    <mergeCell ref="K18:L18"/>
    <mergeCell ref="K19:L19"/>
    <mergeCell ref="I19:J19"/>
    <mergeCell ref="K24:L24"/>
    <mergeCell ref="I11:L11"/>
    <mergeCell ref="K14:L14"/>
    <mergeCell ref="K16:L16"/>
    <mergeCell ref="I22:J22"/>
    <mergeCell ref="K22:L22"/>
    <mergeCell ref="A40:D40"/>
    <mergeCell ref="A41:D41"/>
    <mergeCell ref="A26:A27"/>
    <mergeCell ref="A20:A21"/>
    <mergeCell ref="A19:D19"/>
    <mergeCell ref="A25:D25"/>
    <mergeCell ref="K21:L21"/>
    <mergeCell ref="I21:J21"/>
    <mergeCell ref="G21:H21"/>
    <mergeCell ref="E13:F13"/>
    <mergeCell ref="G13:H13"/>
    <mergeCell ref="K13:L13"/>
    <mergeCell ref="K20:L20"/>
    <mergeCell ref="I20:J20"/>
    <mergeCell ref="G17:H17"/>
  </mergeCells>
  <phoneticPr fontId="18" type="noConversion"/>
  <printOptions horizontalCentered="1"/>
  <pageMargins left="0.7" right="0.7" top="0.75" bottom="0.75" header="0" footer="0"/>
  <pageSetup paperSize="9" scale="87" pageOrder="overThenDown" orientation="portrait" cellComments="atEnd" r:id="rId1"/>
  <ignoredErrors>
    <ignoredError sqref="I17" 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견적서</vt:lpstr>
      <vt:lpstr>견적서!Print_Area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Chihoon Choi</dc:creator>
  <cp:lastModifiedBy>Chihoon Choi</cp:lastModifiedBy>
  <cp:lastPrinted>2026-07-29T09:18:05Z</cp:lastPrinted>
  <dcterms:created xsi:type="dcterms:W3CDTF">2026-07-29T01:09:26Z</dcterms:created>
  <dcterms:modified xsi:type="dcterms:W3CDTF">2026-07-29T09:18:56Z</dcterms:modified>
</cp:coreProperties>
</file>