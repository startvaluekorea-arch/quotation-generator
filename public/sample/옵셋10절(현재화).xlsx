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9ACB13C7-6765-454C-98BE-B6BC5177FDDE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견적서" sheetId="4" r:id="rId1"/>
  </sheets>
  <calcPr calcId="191029"/>
</workbook>
</file>

<file path=xl/calcChain.xml><?xml version="1.0" encoding="utf-8"?>
<calcChain xmlns="http://schemas.openxmlformats.org/spreadsheetml/2006/main">
  <c r="J28" i="4" l="1"/>
  <c r="J27" i="4"/>
  <c r="H23" i="4" l="1"/>
  <c r="H24" i="4" s="1"/>
  <c r="J24" i="4" s="1"/>
  <c r="H21" i="4"/>
  <c r="J26" i="4"/>
  <c r="F23" i="4"/>
  <c r="F21" i="4"/>
  <c r="H25" i="4" l="1"/>
  <c r="F25" i="4"/>
  <c r="F18" i="4"/>
  <c r="F30" i="4" s="1"/>
  <c r="J30" i="4" s="1"/>
  <c r="F19" i="4"/>
  <c r="J25" i="4" l="1"/>
  <c r="F33" i="4"/>
  <c r="F32" i="4"/>
  <c r="L30" i="4"/>
  <c r="J22" i="4"/>
  <c r="J20" i="4"/>
  <c r="L19" i="4"/>
  <c r="J19" i="4"/>
  <c r="B11" i="4"/>
  <c r="J18" i="4" l="1"/>
  <c r="J21" i="4"/>
  <c r="J23" i="4"/>
  <c r="J31" i="4" l="1"/>
  <c r="J32" i="4" s="1"/>
  <c r="J33" i="4" l="1"/>
  <c r="J34" i="4" s="1"/>
  <c r="J35" i="4" l="1"/>
  <c r="J36" i="4" s="1"/>
  <c r="J37" i="4" l="1"/>
  <c r="J38" i="4" s="1"/>
  <c r="J39" i="4" s="1"/>
  <c r="J10" i="4" s="1"/>
  <c r="B8" i="4" s="1"/>
  <c r="B7" i="4" s="1"/>
</calcChain>
</file>

<file path=xl/sharedStrings.xml><?xml version="1.0" encoding="utf-8"?>
<sst xmlns="http://schemas.openxmlformats.org/spreadsheetml/2006/main" count="295" uniqueCount="76">
  <si>
    <t xml:space="preserve">    견     적     서</t>
  </si>
  <si>
    <t>4도</t>
  </si>
  <si>
    <t>견적일:</t>
  </si>
  <si>
    <t>206-82-12755</t>
  </si>
  <si>
    <t>대표자</t>
  </si>
  <si>
    <t>연락처</t>
  </si>
  <si>
    <t xml:space="preserve"> 신 창 식</t>
  </si>
  <si>
    <t>한국교육개발원</t>
  </si>
  <si>
    <t>귀하</t>
  </si>
  <si>
    <t>아래와 같이 견적합니다.</t>
  </si>
  <si>
    <t>표지</t>
  </si>
  <si>
    <t>서울 성동구 뚝섬로1길 25, 한라에코벨리 702호</t>
  </si>
  <si>
    <t>합계</t>
  </si>
  <si>
    <t>후가공</t>
  </si>
  <si>
    <t>코팅</t>
  </si>
  <si>
    <t>내지</t>
  </si>
  <si>
    <t>업   태</t>
  </si>
  <si>
    <t>제조/서비스</t>
  </si>
  <si>
    <t>종목</t>
  </si>
  <si>
    <t>인쇄/디자인</t>
  </si>
  <si>
    <t>제본</t>
  </si>
  <si>
    <t>TEL. 02-6948-9650 / FAX. 02-6948-9649</t>
  </si>
  <si>
    <t>16절</t>
  </si>
  <si>
    <t>제목</t>
  </si>
  <si>
    <t>2026학년도 1학기 방송통신중고등학교 현황 자료집 (방송고)</t>
  </si>
  <si>
    <t>수량</t>
  </si>
  <si>
    <t>금액</t>
  </si>
  <si>
    <t>발주자</t>
  </si>
  <si>
    <t>제작
사양</t>
  </si>
  <si>
    <t>판형</t>
  </si>
  <si>
    <t>유형</t>
  </si>
  <si>
    <t>책자(보고서)</t>
  </si>
  <si>
    <t>스노우250</t>
  </si>
  <si>
    <t>미모80</t>
  </si>
  <si>
    <t>단면</t>
  </si>
  <si>
    <t>조판O</t>
  </si>
  <si>
    <t>양면</t>
  </si>
  <si>
    <t>편집O</t>
  </si>
  <si>
    <t>단면무광</t>
  </si>
  <si>
    <t>무선제본</t>
  </si>
  <si>
    <t>내역</t>
  </si>
  <si>
    <t>단가</t>
  </si>
  <si>
    <t>비고</t>
  </si>
  <si>
    <t>용지대</t>
  </si>
  <si>
    <t>R</t>
  </si>
  <si>
    <t>아트250</t>
  </si>
  <si>
    <t>편집 및 조판</t>
  </si>
  <si>
    <t>표지 조판 작업</t>
  </si>
  <si>
    <t>식</t>
  </si>
  <si>
    <t>내지 편집 및 조판</t>
  </si>
  <si>
    <t>P</t>
  </si>
  <si>
    <t>판</t>
  </si>
  <si>
    <t>4도 인쇄</t>
  </si>
  <si>
    <t>제본비(무선제본)</t>
  </si>
  <si>
    <t>①계</t>
  </si>
  <si>
    <t>②일반관리비</t>
  </si>
  <si>
    <t>③이윤</t>
  </si>
  <si>
    <t>소계</t>
  </si>
  <si>
    <t>인쇄요율 적용</t>
  </si>
  <si>
    <t>(절사액)</t>
  </si>
  <si>
    <t>공급가</t>
  </si>
  <si>
    <t>부가세</t>
  </si>
  <si>
    <t>합   계</t>
  </si>
  <si>
    <t>공
급
자</t>
    <phoneticPr fontId="14" type="noConversion"/>
  </si>
  <si>
    <t>사업자
번    호</t>
    <phoneticPr fontId="14" type="noConversion"/>
  </si>
  <si>
    <t>상    호</t>
    <phoneticPr fontId="14" type="noConversion"/>
  </si>
  <si>
    <t>주    소</t>
    <phoneticPr fontId="14" type="noConversion"/>
  </si>
  <si>
    <t>사단법인 아름다운사람들</t>
    <phoneticPr fontId="14" type="noConversion"/>
  </si>
  <si>
    <t>인쇄판비</t>
    <phoneticPr fontId="14" type="noConversion"/>
  </si>
  <si>
    <t>인쇄비</t>
    <phoneticPr fontId="14" type="noConversion"/>
  </si>
  <si>
    <t>10절</t>
    <phoneticPr fontId="14" type="noConversion"/>
  </si>
  <si>
    <t>에폭시</t>
    <phoneticPr fontId="14" type="noConversion"/>
  </si>
  <si>
    <t>식</t>
    <phoneticPr fontId="14" type="noConversion"/>
  </si>
  <si>
    <t>박인쇄</t>
    <phoneticPr fontId="14" type="noConversion"/>
  </si>
  <si>
    <t>필름비포함</t>
    <phoneticPr fontId="14" type="noConversion"/>
  </si>
  <si>
    <t>동판비포함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</si>
</sst>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\.\ m\.\ d"/>
    <numFmt numFmtId="177" formatCode="[$₩-412]#,##0"/>
    <numFmt numFmtId="178" formatCode="#,##0&quot;부&quot;"/>
    <numFmt numFmtId="179" formatCode="#,##0&quot;면&quot;"/>
    <numFmt numFmtId="180" formatCode="0.0"/>
    <numFmt numFmtId="181" formatCode="&quot;(&quot;#,##0&quot;도)&quot;"/>
    <numFmt numFmtId="182" formatCode="&quot;(&quot;#%&quot;)&quot;"/>
    <numFmt numFmtId="183" formatCode="&quot;△&quot;#,##0"/>
  </numFmts>
  <fonts count="15">
    <font>
      <sz val="10"/>
      <color rgb="FF000000"/>
      <name val="Arial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thin">
        <color rgb="FFFFFFFF"/>
      </right>
      <top style="medium">
        <color rgb="FFFFFFFF"/>
      </top>
      <bottom/>
      <diagonal/>
    </border>
    <border>
      <left/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216">
    <xf numFmtId="0" fontId="0" fillId="0" borderId="0" xfId="0" applyFont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left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3" borderId="3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2" fillId="3" borderId="31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8" fillId="2" borderId="5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7" fillId="5" borderId="57" xfId="0" applyFont="1" applyFill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0" fillId="0" borderId="65" xfId="0" applyFont="1" applyBorder="1" applyAlignment="1">
      <alignment horizontal="center"/>
    </xf>
    <xf numFmtId="3" fontId="10" fillId="3" borderId="67" xfId="0" applyNumberFormat="1" applyFont="1" applyFill="1" applyBorder="1" applyAlignment="1">
      <alignment horizontal="center" vertical="center"/>
    </xf>
    <xf numFmtId="3" fontId="11" fillId="3" borderId="66" xfId="0" applyNumberFormat="1" applyFont="1" applyFill="1" applyBorder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179" fontId="11" fillId="3" borderId="68" xfId="0" applyNumberFormat="1" applyFont="1" applyFill="1" applyBorder="1" applyAlignment="1">
      <alignment horizontal="center" vertical="center"/>
    </xf>
    <xf numFmtId="3" fontId="10" fillId="3" borderId="69" xfId="0" applyNumberFormat="1" applyFont="1" applyFill="1" applyBorder="1" applyAlignment="1">
      <alignment horizontal="center" vertical="center"/>
    </xf>
    <xf numFmtId="3" fontId="11" fillId="3" borderId="70" xfId="0" applyNumberFormat="1" applyFont="1" applyFill="1" applyBorder="1" applyAlignment="1">
      <alignment horizontal="center" vertical="center"/>
    </xf>
    <xf numFmtId="3" fontId="10" fillId="3" borderId="71" xfId="0" applyNumberFormat="1" applyFont="1" applyFill="1" applyBorder="1" applyAlignment="1">
      <alignment horizontal="center" vertical="center"/>
    </xf>
    <xf numFmtId="3" fontId="11" fillId="3" borderId="71" xfId="0" applyNumberFormat="1" applyFont="1" applyFill="1" applyBorder="1" applyAlignment="1">
      <alignment horizontal="center" vertical="center"/>
    </xf>
    <xf numFmtId="179" fontId="10" fillId="3" borderId="72" xfId="0" applyNumberFormat="1" applyFont="1" applyFill="1" applyBorder="1" applyAlignment="1">
      <alignment horizontal="center" vertical="center"/>
    </xf>
    <xf numFmtId="179" fontId="11" fillId="3" borderId="68" xfId="0" applyNumberFormat="1" applyFont="1" applyFill="1" applyBorder="1" applyAlignment="1">
      <alignment horizontal="center" vertical="center"/>
    </xf>
    <xf numFmtId="3" fontId="10" fillId="3" borderId="77" xfId="0" applyNumberFormat="1" applyFont="1" applyFill="1" applyBorder="1" applyAlignment="1">
      <alignment horizontal="center" vertical="center"/>
    </xf>
    <xf numFmtId="3" fontId="11" fillId="3" borderId="73" xfId="0" applyNumberFormat="1" applyFont="1" applyFill="1" applyBorder="1" applyAlignment="1">
      <alignment horizontal="center" vertical="center"/>
    </xf>
    <xf numFmtId="3" fontId="10" fillId="3" borderId="74" xfId="0" applyNumberFormat="1" applyFont="1" applyFill="1" applyBorder="1" applyAlignment="1">
      <alignment horizontal="center" vertical="center"/>
    </xf>
    <xf numFmtId="3" fontId="11" fillId="3" borderId="74" xfId="0" applyNumberFormat="1" applyFont="1" applyFill="1" applyBorder="1" applyAlignment="1">
      <alignment horizontal="center" vertical="center"/>
    </xf>
    <xf numFmtId="179" fontId="11" fillId="3" borderId="78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80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7" fillId="3" borderId="85" xfId="0" applyFont="1" applyFill="1" applyBorder="1" applyAlignment="1">
      <alignment horizontal="center" vertical="center"/>
    </xf>
    <xf numFmtId="180" fontId="2" fillId="3" borderId="87" xfId="0" applyNumberFormat="1" applyFont="1" applyFill="1" applyBorder="1" applyAlignment="1">
      <alignment horizontal="right" vertical="center"/>
    </xf>
    <xf numFmtId="0" fontId="2" fillId="3" borderId="38" xfId="0" applyFont="1" applyFill="1" applyBorder="1" applyAlignment="1">
      <alignment vertical="center"/>
    </xf>
    <xf numFmtId="0" fontId="11" fillId="3" borderId="88" xfId="0" applyFont="1" applyFill="1" applyBorder="1" applyAlignment="1">
      <alignment horizontal="center" vertical="center"/>
    </xf>
    <xf numFmtId="1" fontId="2" fillId="3" borderId="45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3" fontId="2" fillId="3" borderId="90" xfId="0" applyNumberFormat="1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vertical="center"/>
    </xf>
    <xf numFmtId="181" fontId="2" fillId="3" borderId="92" xfId="0" applyNumberFormat="1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right" vertical="center"/>
    </xf>
    <xf numFmtId="0" fontId="8" fillId="3" borderId="90" xfId="0" applyFont="1" applyFill="1" applyBorder="1" applyAlignment="1">
      <alignment horizontal="center" vertical="center"/>
    </xf>
    <xf numFmtId="3" fontId="2" fillId="3" borderId="45" xfId="0" applyNumberFormat="1" applyFont="1" applyFill="1" applyBorder="1" applyAlignment="1">
      <alignment horizontal="right" vertical="center"/>
    </xf>
    <xf numFmtId="0" fontId="2" fillId="3" borderId="45" xfId="0" applyFont="1" applyFill="1" applyBorder="1" applyAlignment="1">
      <alignment vertical="center"/>
    </xf>
    <xf numFmtId="181" fontId="2" fillId="3" borderId="94" xfId="0" applyNumberFormat="1" applyFont="1" applyFill="1" applyBorder="1" applyAlignment="1">
      <alignment horizontal="center" vertical="center"/>
    </xf>
    <xf numFmtId="0" fontId="9" fillId="3" borderId="90" xfId="0" applyFont="1" applyFill="1" applyBorder="1" applyAlignment="1">
      <alignment horizontal="center" vertical="center"/>
    </xf>
    <xf numFmtId="181" fontId="2" fillId="3" borderId="94" xfId="0" applyNumberFormat="1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vertical="center"/>
    </xf>
    <xf numFmtId="3" fontId="2" fillId="3" borderId="95" xfId="0" applyNumberFormat="1" applyFont="1" applyFill="1" applyBorder="1" applyAlignment="1">
      <alignment horizontal="right" vertical="center"/>
    </xf>
    <xf numFmtId="3" fontId="8" fillId="3" borderId="90" xfId="0" applyNumberFormat="1" applyFont="1" applyFill="1" applyBorder="1" applyAlignment="1">
      <alignment horizontal="center" vertical="center"/>
    </xf>
    <xf numFmtId="0" fontId="2" fillId="3" borderId="95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8" fillId="3" borderId="90" xfId="0" applyFont="1" applyFill="1" applyBorder="1" applyAlignment="1">
      <alignment vertical="center"/>
    </xf>
    <xf numFmtId="0" fontId="2" fillId="3" borderId="97" xfId="0" applyFont="1" applyFill="1" applyBorder="1" applyAlignment="1">
      <alignment vertical="center"/>
    </xf>
    <xf numFmtId="0" fontId="2" fillId="3" borderId="94" xfId="0" applyFont="1" applyFill="1" applyBorder="1" applyAlignment="1">
      <alignment vertical="center"/>
    </xf>
    <xf numFmtId="182" fontId="2" fillId="3" borderId="94" xfId="0" applyNumberFormat="1" applyFont="1" applyFill="1" applyBorder="1" applyAlignment="1">
      <alignment horizontal="center" vertical="center"/>
    </xf>
    <xf numFmtId="0" fontId="12" fillId="3" borderId="90" xfId="0" applyFont="1" applyFill="1" applyBorder="1" applyAlignment="1">
      <alignment vertical="center"/>
    </xf>
    <xf numFmtId="182" fontId="2" fillId="3" borderId="94" xfId="0" applyNumberFormat="1" applyFont="1" applyFill="1" applyBorder="1" applyAlignment="1">
      <alignment horizontal="center" vertical="center"/>
    </xf>
    <xf numFmtId="0" fontId="2" fillId="3" borderId="99" xfId="0" applyFont="1" applyFill="1" applyBorder="1" applyAlignment="1">
      <alignment vertical="center"/>
    </xf>
    <xf numFmtId="0" fontId="2" fillId="3" borderId="92" xfId="0" applyFont="1" applyFill="1" applyBorder="1" applyAlignment="1">
      <alignment vertical="center"/>
    </xf>
    <xf numFmtId="0" fontId="8" fillId="3" borderId="100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100" xfId="0" applyFont="1" applyFill="1" applyBorder="1" applyAlignment="1">
      <alignment vertical="center"/>
    </xf>
    <xf numFmtId="183" fontId="8" fillId="3" borderId="88" xfId="0" applyNumberFormat="1" applyFont="1" applyFill="1" applyBorder="1" applyAlignment="1">
      <alignment horizontal="center" vertical="center"/>
    </xf>
    <xf numFmtId="0" fontId="7" fillId="3" borderId="104" xfId="0" applyFont="1" applyFill="1" applyBorder="1" applyAlignment="1">
      <alignment vertical="center"/>
    </xf>
    <xf numFmtId="0" fontId="7" fillId="3" borderId="105" xfId="0" applyFont="1" applyFill="1" applyBorder="1" applyAlignment="1">
      <alignment vertical="center"/>
    </xf>
    <xf numFmtId="0" fontId="2" fillId="3" borderId="107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/>
    <xf numFmtId="0" fontId="8" fillId="3" borderId="36" xfId="0" applyFont="1" applyFill="1" applyBorder="1" applyAlignment="1">
      <alignment horizontal="center" vertical="center" wrapText="1"/>
    </xf>
    <xf numFmtId="180" fontId="2" fillId="3" borderId="45" xfId="0" applyNumberFormat="1" applyFont="1" applyFill="1" applyBorder="1" applyAlignment="1">
      <alignment horizontal="right" vertical="center"/>
    </xf>
    <xf numFmtId="180" fontId="2" fillId="3" borderId="95" xfId="0" applyNumberFormat="1" applyFont="1" applyFill="1" applyBorder="1" applyAlignment="1">
      <alignment horizontal="right" vertical="center"/>
    </xf>
    <xf numFmtId="0" fontId="2" fillId="3" borderId="79" xfId="0" applyFont="1" applyFill="1" applyBorder="1" applyAlignment="1">
      <alignment horizontal="center" vertical="center"/>
    </xf>
    <xf numFmtId="0" fontId="1" fillId="0" borderId="2" xfId="0" applyFont="1" applyBorder="1"/>
    <xf numFmtId="3" fontId="2" fillId="3" borderId="1" xfId="0" applyNumberFormat="1" applyFont="1" applyFill="1" applyBorder="1" applyAlignment="1">
      <alignment horizontal="center" vertical="center"/>
    </xf>
    <xf numFmtId="3" fontId="2" fillId="3" borderId="34" xfId="0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13" fillId="0" borderId="108" xfId="0" applyFont="1" applyBorder="1" applyAlignment="1"/>
    <xf numFmtId="0" fontId="13" fillId="0" borderId="109" xfId="0" applyFont="1" applyBorder="1" applyAlignment="1"/>
    <xf numFmtId="0" fontId="13" fillId="0" borderId="110" xfId="0" applyFont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3" fontId="2" fillId="3" borderId="34" xfId="0" applyNumberFormat="1" applyFont="1" applyFill="1" applyBorder="1" applyAlignment="1">
      <alignment horizontal="right" vertical="center"/>
    </xf>
    <xf numFmtId="0" fontId="7" fillId="3" borderId="82" xfId="0" applyFont="1" applyFill="1" applyBorder="1" applyAlignment="1">
      <alignment horizontal="center" vertical="center"/>
    </xf>
    <xf numFmtId="0" fontId="1" fillId="0" borderId="83" xfId="0" applyFont="1" applyBorder="1"/>
    <xf numFmtId="0" fontId="2" fillId="3" borderId="35" xfId="0" applyFont="1" applyFill="1" applyBorder="1" applyAlignment="1">
      <alignment vertical="center"/>
    </xf>
    <xf numFmtId="0" fontId="1" fillId="0" borderId="89" xfId="0" applyFont="1" applyBorder="1"/>
    <xf numFmtId="3" fontId="2" fillId="3" borderId="37" xfId="0" applyNumberFormat="1" applyFont="1" applyFill="1" applyBorder="1" applyAlignment="1">
      <alignment horizontal="center" vertical="center"/>
    </xf>
    <xf numFmtId="0" fontId="1" fillId="0" borderId="38" xfId="0" applyFont="1" applyBorder="1"/>
    <xf numFmtId="3" fontId="2" fillId="3" borderId="58" xfId="0" applyNumberFormat="1" applyFont="1" applyFill="1" applyBorder="1" applyAlignment="1">
      <alignment horizontal="right" vertical="center"/>
    </xf>
    <xf numFmtId="0" fontId="2" fillId="3" borderId="79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vertical="center" wrapText="1"/>
    </xf>
    <xf numFmtId="0" fontId="2" fillId="3" borderId="93" xfId="0" applyFont="1" applyFill="1" applyBorder="1" applyAlignment="1">
      <alignment horizontal="center" vertical="center"/>
    </xf>
    <xf numFmtId="0" fontId="1" fillId="0" borderId="20" xfId="0" applyFont="1" applyBorder="1"/>
    <xf numFmtId="0" fontId="2" fillId="3" borderId="64" xfId="0" applyFont="1" applyFill="1" applyBorder="1" applyAlignment="1">
      <alignment vertical="center"/>
    </xf>
    <xf numFmtId="0" fontId="1" fillId="0" borderId="42" xfId="0" applyFont="1" applyBorder="1"/>
    <xf numFmtId="0" fontId="4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176" fontId="2" fillId="3" borderId="32" xfId="0" applyNumberFormat="1" applyFont="1" applyFill="1" applyBorder="1" applyAlignment="1">
      <alignment horizontal="center" vertical="center"/>
    </xf>
    <xf numFmtId="0" fontId="1" fillId="0" borderId="33" xfId="0" applyFont="1" applyBorder="1"/>
    <xf numFmtId="0" fontId="7" fillId="3" borderId="35" xfId="0" applyFont="1" applyFill="1" applyBorder="1" applyAlignment="1">
      <alignment horizontal="center" vertical="center" wrapText="1"/>
    </xf>
    <xf numFmtId="0" fontId="1" fillId="3" borderId="42" xfId="0" applyFont="1" applyFill="1" applyBorder="1"/>
    <xf numFmtId="0" fontId="1" fillId="2" borderId="42" xfId="0" applyFont="1" applyFill="1" applyBorder="1"/>
    <xf numFmtId="0" fontId="1" fillId="2" borderId="50" xfId="0" applyFont="1" applyFill="1" applyBorder="1"/>
    <xf numFmtId="0" fontId="8" fillId="3" borderId="37" xfId="0" applyFont="1" applyFill="1" applyBorder="1" applyAlignment="1">
      <alignment horizontal="center" vertical="center"/>
    </xf>
    <xf numFmtId="0" fontId="1" fillId="4" borderId="38" xfId="0" applyFont="1" applyFill="1" applyBorder="1"/>
    <xf numFmtId="0" fontId="8" fillId="3" borderId="37" xfId="0" applyFont="1" applyFill="1" applyBorder="1" applyAlignment="1">
      <alignment horizontal="left" vertical="center"/>
    </xf>
    <xf numFmtId="0" fontId="1" fillId="4" borderId="39" xfId="0" applyFont="1" applyFill="1" applyBorder="1"/>
    <xf numFmtId="0" fontId="7" fillId="3" borderId="40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vertical="center"/>
    </xf>
    <xf numFmtId="0" fontId="1" fillId="0" borderId="30" xfId="0" applyFont="1" applyBorder="1"/>
    <xf numFmtId="0" fontId="2" fillId="3" borderId="44" xfId="0" applyFont="1" applyFill="1" applyBorder="1" applyAlignment="1">
      <alignment horizontal="left" vertical="center"/>
    </xf>
    <xf numFmtId="0" fontId="1" fillId="0" borderId="34" xfId="0" applyFont="1" applyBorder="1"/>
    <xf numFmtId="0" fontId="1" fillId="0" borderId="45" xfId="0" applyFont="1" applyBorder="1"/>
    <xf numFmtId="0" fontId="7" fillId="3" borderId="13" xfId="0" applyFont="1" applyFill="1" applyBorder="1" applyAlignment="1"/>
    <xf numFmtId="0" fontId="7" fillId="3" borderId="98" xfId="0" applyFont="1" applyFill="1" applyBorder="1" applyAlignment="1">
      <alignment vertical="center"/>
    </xf>
    <xf numFmtId="0" fontId="1" fillId="0" borderId="17" xfId="0" applyFont="1" applyBorder="1"/>
    <xf numFmtId="0" fontId="8" fillId="3" borderId="1" xfId="0" applyFont="1" applyFill="1" applyBorder="1" applyAlignment="1">
      <alignment horizontal="center" vertical="center"/>
    </xf>
    <xf numFmtId="0" fontId="1" fillId="3" borderId="34" xfId="0" applyFont="1" applyFill="1" applyBorder="1"/>
    <xf numFmtId="0" fontId="1" fillId="3" borderId="43" xfId="0" applyFont="1" applyFill="1" applyBorder="1"/>
    <xf numFmtId="0" fontId="1" fillId="2" borderId="34" xfId="0" applyFont="1" applyFill="1" applyBorder="1"/>
    <xf numFmtId="0" fontId="1" fillId="2" borderId="43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177" fontId="9" fillId="3" borderId="60" xfId="0" applyNumberFormat="1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177" fontId="7" fillId="3" borderId="32" xfId="0" applyNumberFormat="1" applyFont="1" applyFill="1" applyBorder="1" applyAlignment="1">
      <alignment horizontal="left" vertical="top"/>
    </xf>
    <xf numFmtId="0" fontId="2" fillId="3" borderId="52" xfId="0" applyFont="1" applyFill="1" applyBorder="1" applyAlignment="1">
      <alignment horizontal="center" vertical="center"/>
    </xf>
    <xf numFmtId="0" fontId="1" fillId="2" borderId="53" xfId="0" applyFont="1" applyFill="1" applyBorder="1"/>
    <xf numFmtId="0" fontId="1" fillId="2" borderId="54" xfId="0" applyFont="1" applyFill="1" applyBorder="1"/>
    <xf numFmtId="0" fontId="7" fillId="0" borderId="37" xfId="0" applyFont="1" applyBorder="1" applyAlignment="1">
      <alignment horizontal="center" vertical="center" wrapText="1"/>
    </xf>
    <xf numFmtId="0" fontId="1" fillId="0" borderId="58" xfId="0" applyFont="1" applyBorder="1"/>
    <xf numFmtId="178" fontId="7" fillId="0" borderId="60" xfId="0" applyNumberFormat="1" applyFont="1" applyBorder="1" applyAlignment="1">
      <alignment horizontal="center" vertical="center"/>
    </xf>
    <xf numFmtId="0" fontId="1" fillId="0" borderId="61" xfId="0" applyFont="1" applyBorder="1"/>
    <xf numFmtId="0" fontId="7" fillId="5" borderId="64" xfId="0" applyFont="1" applyFill="1" applyBorder="1" applyAlignment="1">
      <alignment horizontal="center" vertical="center"/>
    </xf>
    <xf numFmtId="0" fontId="1" fillId="0" borderId="50" xfId="0" applyFont="1" applyBorder="1"/>
    <xf numFmtId="0" fontId="2" fillId="3" borderId="15" xfId="0" applyFont="1" applyFill="1" applyBorder="1" applyAlignment="1">
      <alignment horizontal="center" vertical="center"/>
    </xf>
    <xf numFmtId="0" fontId="1" fillId="0" borderId="66" xfId="0" applyFont="1" applyBorder="1"/>
    <xf numFmtId="0" fontId="0" fillId="0" borderId="0" xfId="0" applyFont="1" applyAlignment="1"/>
    <xf numFmtId="0" fontId="1" fillId="0" borderId="48" xfId="0" applyFont="1" applyBorder="1"/>
    <xf numFmtId="0" fontId="1" fillId="0" borderId="73" xfId="0" applyFont="1" applyBorder="1"/>
    <xf numFmtId="0" fontId="1" fillId="0" borderId="74" xfId="0" applyFont="1" applyBorder="1"/>
    <xf numFmtId="0" fontId="1" fillId="0" borderId="75" xfId="0" applyFont="1" applyBorder="1"/>
    <xf numFmtId="0" fontId="7" fillId="5" borderId="10" xfId="0" applyFont="1" applyFill="1" applyBorder="1" applyAlignment="1">
      <alignment horizontal="center" vertical="center"/>
    </xf>
    <xf numFmtId="0" fontId="1" fillId="0" borderId="47" xfId="0" applyFont="1" applyBorder="1"/>
    <xf numFmtId="0" fontId="1" fillId="0" borderId="76" xfId="0" applyFont="1" applyBorder="1"/>
    <xf numFmtId="0" fontId="7" fillId="3" borderId="81" xfId="0" applyFont="1" applyFill="1" applyBorder="1" applyAlignment="1">
      <alignment horizontal="center" vertical="center"/>
    </xf>
    <xf numFmtId="0" fontId="1" fillId="0" borderId="82" xfId="0" applyFont="1" applyBorder="1"/>
    <xf numFmtId="0" fontId="7" fillId="3" borderId="84" xfId="0" applyFont="1" applyFill="1" applyBorder="1" applyAlignment="1">
      <alignment horizontal="center" vertical="center"/>
    </xf>
    <xf numFmtId="0" fontId="8" fillId="0" borderId="64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7" fillId="3" borderId="96" xfId="0" applyFont="1" applyFill="1" applyBorder="1" applyAlignment="1">
      <alignment horizontal="left" vertical="center"/>
    </xf>
    <xf numFmtId="0" fontId="2" fillId="3" borderId="58" xfId="0" applyFont="1" applyFill="1" applyBorder="1" applyAlignment="1">
      <alignment vertical="center"/>
    </xf>
    <xf numFmtId="0" fontId="1" fillId="0" borderId="86" xfId="0" applyFont="1" applyBorder="1"/>
    <xf numFmtId="0" fontId="2" fillId="3" borderId="17" xfId="0" applyFont="1" applyFill="1" applyBorder="1" applyAlignment="1">
      <alignment vertical="center"/>
    </xf>
    <xf numFmtId="0" fontId="8" fillId="3" borderId="79" xfId="0" applyFont="1" applyFill="1" applyBorder="1" applyAlignment="1">
      <alignment vertical="center"/>
    </xf>
    <xf numFmtId="0" fontId="8" fillId="3" borderId="106" xfId="0" applyFont="1" applyFill="1" applyBorder="1" applyAlignment="1">
      <alignment vertical="center"/>
    </xf>
    <xf numFmtId="0" fontId="8" fillId="3" borderId="93" xfId="0" applyFont="1" applyFill="1" applyBorder="1" applyAlignment="1">
      <alignment vertical="center"/>
    </xf>
    <xf numFmtId="9" fontId="2" fillId="3" borderId="93" xfId="0" applyNumberFormat="1" applyFont="1" applyFill="1" applyBorder="1" applyAlignment="1">
      <alignment horizontal="center" vertical="center"/>
    </xf>
    <xf numFmtId="0" fontId="1" fillId="0" borderId="91" xfId="0" applyFont="1" applyBorder="1"/>
    <xf numFmtId="0" fontId="2" fillId="3" borderId="60" xfId="0" applyFont="1" applyFill="1" applyBorder="1" applyAlignment="1">
      <alignment horizontal="center" vertical="center"/>
    </xf>
    <xf numFmtId="0" fontId="7" fillId="3" borderId="98" xfId="0" applyFont="1" applyFill="1" applyBorder="1" applyAlignment="1">
      <alignment horizontal="center" vertical="center"/>
    </xf>
    <xf numFmtId="0" fontId="7" fillId="3" borderId="101" xfId="0" applyFont="1" applyFill="1" applyBorder="1" applyAlignment="1">
      <alignment horizontal="center" vertical="center"/>
    </xf>
    <xf numFmtId="0" fontId="7" fillId="3" borderId="102" xfId="0" applyFont="1" applyFill="1" applyBorder="1" applyAlignment="1">
      <alignment horizontal="center" vertical="center"/>
    </xf>
    <xf numFmtId="0" fontId="1" fillId="0" borderId="53" xfId="0" applyFont="1" applyBorder="1"/>
    <xf numFmtId="0" fontId="1" fillId="0" borderId="103" xfId="0" applyFont="1" applyBorder="1"/>
    <xf numFmtId="3" fontId="9" fillId="3" borderId="53" xfId="0" applyNumberFormat="1" applyFont="1" applyFill="1" applyBorder="1" applyAlignment="1">
      <alignment vertical="center"/>
    </xf>
    <xf numFmtId="3" fontId="9" fillId="3" borderId="34" xfId="0" applyNumberFormat="1" applyFont="1" applyFill="1" applyBorder="1" applyAlignment="1">
      <alignment vertical="center"/>
    </xf>
    <xf numFmtId="3" fontId="9" fillId="3" borderId="17" xfId="0" applyNumberFormat="1" applyFont="1" applyFill="1" applyBorder="1" applyAlignment="1">
      <alignment vertical="center"/>
    </xf>
    <xf numFmtId="3" fontId="7" fillId="3" borderId="34" xfId="0" applyNumberFormat="1" applyFont="1" applyFill="1" applyBorder="1" applyAlignment="1">
      <alignment vertical="center"/>
    </xf>
    <xf numFmtId="183" fontId="8" fillId="3" borderId="66" xfId="0" applyNumberFormat="1" applyFont="1" applyFill="1" applyBorder="1" applyAlignment="1">
      <alignment horizontal="right" vertical="center"/>
    </xf>
    <xf numFmtId="3" fontId="9" fillId="3" borderId="58" xfId="0" applyNumberFormat="1" applyFont="1" applyFill="1" applyBorder="1" applyAlignment="1">
      <alignment vertical="center"/>
    </xf>
    <xf numFmtId="3" fontId="8" fillId="3" borderId="34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13" fillId="3" borderId="9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</xdr:colOff>
      <xdr:row>2</xdr:row>
      <xdr:rowOff>152400</xdr:rowOff>
    </xdr:from>
    <xdr:ext cx="630555" cy="655320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5560" y="1005840"/>
          <a:ext cx="630555" cy="65532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  <pageSetUpPr fitToPage="1"/>
  </sheetPr>
  <dimension ref="A1:L984"/>
  <sheetViews>
    <sheetView tabSelected="1" topLeftCell="A15" workbookViewId="0">
      <selection activeCell="L23" sqref="L23"/>
    </sheetView>
  </sheetViews>
  <sheetFormatPr defaultColWidth="12.5703125" defaultRowHeight="15.75" customHeight="1"/>
  <cols>
    <col min="1" max="3" width="8.28515625" customWidth="1"/>
    <col min="4" max="4" width="15.140625" customWidth="1"/>
    <col min="5" max="5" width="3.42578125" customWidth="1"/>
    <col min="6" max="6" width="8.28515625" customWidth="1"/>
    <col min="7" max="7" width="9.7109375" customWidth="1"/>
    <col min="8" max="8" width="10.42578125" customWidth="1"/>
    <col min="9" max="11" width="8.28515625" customWidth="1"/>
    <col min="12" max="12" width="10.28515625" customWidth="1"/>
  </cols>
  <sheetData>
    <row r="1" spans="1:12" ht="33.75">
      <c r="A1" s="1"/>
      <c r="B1" s="2"/>
      <c r="C1" s="2"/>
      <c r="D1" s="132" t="s">
        <v>0</v>
      </c>
      <c r="E1" s="133"/>
      <c r="F1" s="133"/>
      <c r="G1" s="133"/>
      <c r="H1" s="133"/>
      <c r="I1" s="134"/>
      <c r="J1" s="3"/>
      <c r="K1" s="2"/>
      <c r="L1" s="4"/>
    </row>
    <row r="2" spans="1:12" ht="33.75">
      <c r="A2" s="5"/>
      <c r="B2" s="6"/>
      <c r="C2" s="6"/>
      <c r="D2" s="135"/>
      <c r="E2" s="136"/>
      <c r="F2" s="136"/>
      <c r="G2" s="136"/>
      <c r="H2" s="136"/>
      <c r="I2" s="137"/>
      <c r="J2" s="7"/>
      <c r="K2" s="6"/>
      <c r="L2" s="8"/>
    </row>
    <row r="3" spans="1:12" ht="22.5" customHeight="1">
      <c r="A3" s="9"/>
      <c r="B3" s="10"/>
      <c r="C3" s="11"/>
      <c r="D3" s="12"/>
      <c r="E3" s="13"/>
      <c r="F3" s="14"/>
      <c r="G3" s="14"/>
      <c r="H3" s="14"/>
      <c r="I3" s="15"/>
      <c r="J3" s="16"/>
      <c r="K3" s="17"/>
      <c r="L3" s="18"/>
    </row>
    <row r="4" spans="1:12" ht="30" customHeight="1">
      <c r="A4" s="19" t="s">
        <v>2</v>
      </c>
      <c r="B4" s="138">
        <v>46204</v>
      </c>
      <c r="C4" s="139"/>
      <c r="D4" s="20"/>
      <c r="E4" s="21"/>
      <c r="F4" s="140" t="s">
        <v>63</v>
      </c>
      <c r="G4" s="105" t="s">
        <v>64</v>
      </c>
      <c r="H4" s="144" t="s">
        <v>3</v>
      </c>
      <c r="I4" s="145"/>
      <c r="J4" s="22" t="s">
        <v>4</v>
      </c>
      <c r="K4" s="146" t="s">
        <v>6</v>
      </c>
      <c r="L4" s="147"/>
    </row>
    <row r="5" spans="1:12" ht="30" customHeight="1">
      <c r="A5" s="148" t="s">
        <v>7</v>
      </c>
      <c r="B5" s="139"/>
      <c r="C5" s="23" t="s">
        <v>8</v>
      </c>
      <c r="D5" s="24"/>
      <c r="E5" s="25"/>
      <c r="F5" s="141"/>
      <c r="G5" s="26" t="s">
        <v>65</v>
      </c>
      <c r="H5" s="157" t="s">
        <v>67</v>
      </c>
      <c r="I5" s="158"/>
      <c r="J5" s="158"/>
      <c r="K5" s="158"/>
      <c r="L5" s="159"/>
    </row>
    <row r="6" spans="1:12" ht="30" customHeight="1">
      <c r="A6" s="151" t="s">
        <v>9</v>
      </c>
      <c r="B6" s="152"/>
      <c r="C6" s="153"/>
      <c r="D6" s="27"/>
      <c r="E6" s="28"/>
      <c r="F6" s="142"/>
      <c r="G6" s="26" t="s">
        <v>66</v>
      </c>
      <c r="H6" s="157" t="s">
        <v>11</v>
      </c>
      <c r="I6" s="160"/>
      <c r="J6" s="160"/>
      <c r="K6" s="160"/>
      <c r="L6" s="161"/>
    </row>
    <row r="7" spans="1:12" ht="30" customHeight="1">
      <c r="A7" s="149" t="s">
        <v>12</v>
      </c>
      <c r="B7" s="154" t="str">
        <f>NUMBERSTRING(B8,1)&amp;"원정"</f>
        <v>사백일십만일천구백원정</v>
      </c>
      <c r="C7" s="136"/>
      <c r="D7" s="137"/>
      <c r="E7" s="29"/>
      <c r="F7" s="141"/>
      <c r="G7" s="26" t="s">
        <v>16</v>
      </c>
      <c r="H7" s="162" t="s">
        <v>17</v>
      </c>
      <c r="I7" s="163"/>
      <c r="J7" s="30" t="s">
        <v>18</v>
      </c>
      <c r="K7" s="162" t="s">
        <v>19</v>
      </c>
      <c r="L7" s="159"/>
    </row>
    <row r="8" spans="1:12" ht="30" customHeight="1">
      <c r="A8" s="150"/>
      <c r="B8" s="167">
        <f>J10</f>
        <v>4101900</v>
      </c>
      <c r="C8" s="139"/>
      <c r="D8" s="31"/>
      <c r="E8" s="32"/>
      <c r="F8" s="143"/>
      <c r="G8" s="33" t="s">
        <v>5</v>
      </c>
      <c r="H8" s="168" t="s">
        <v>21</v>
      </c>
      <c r="I8" s="169"/>
      <c r="J8" s="169"/>
      <c r="K8" s="169"/>
      <c r="L8" s="170"/>
    </row>
    <row r="9" spans="1:12" ht="16.5">
      <c r="A9" s="34"/>
      <c r="B9" s="35"/>
      <c r="C9" s="35"/>
      <c r="D9" s="35"/>
      <c r="E9" s="35"/>
      <c r="F9" s="36"/>
      <c r="G9" s="37"/>
      <c r="H9" s="37"/>
      <c r="I9" s="37"/>
      <c r="J9" s="37"/>
      <c r="K9" s="38"/>
      <c r="L9" s="39"/>
    </row>
    <row r="10" spans="1:12" ht="30.75" customHeight="1">
      <c r="A10" s="40" t="s">
        <v>23</v>
      </c>
      <c r="B10" s="171" t="s">
        <v>24</v>
      </c>
      <c r="C10" s="172"/>
      <c r="D10" s="172"/>
      <c r="E10" s="124"/>
      <c r="F10" s="41" t="s">
        <v>25</v>
      </c>
      <c r="G10" s="173">
        <v>200</v>
      </c>
      <c r="H10" s="174"/>
      <c r="I10" s="42" t="s">
        <v>26</v>
      </c>
      <c r="J10" s="164">
        <f>J39</f>
        <v>4101900</v>
      </c>
      <c r="K10" s="165"/>
      <c r="L10" s="166"/>
    </row>
    <row r="11" spans="1:12" ht="15" customHeight="1">
      <c r="A11" s="175" t="s">
        <v>27</v>
      </c>
      <c r="B11" s="177" t="str">
        <f>A5</f>
        <v>한국교육개발원</v>
      </c>
      <c r="C11" s="156"/>
      <c r="D11" s="156"/>
      <c r="E11" s="129"/>
      <c r="F11" s="184" t="s">
        <v>28</v>
      </c>
      <c r="G11" s="43" t="s">
        <v>29</v>
      </c>
      <c r="H11" s="44" t="s">
        <v>70</v>
      </c>
      <c r="I11" s="45" t="s">
        <v>22</v>
      </c>
      <c r="J11" s="46" t="s">
        <v>30</v>
      </c>
      <c r="K11" s="47" t="s">
        <v>31</v>
      </c>
      <c r="L11" s="48"/>
    </row>
    <row r="12" spans="1:12" ht="15" customHeight="1">
      <c r="A12" s="131"/>
      <c r="B12" s="178"/>
      <c r="C12" s="179"/>
      <c r="D12" s="179"/>
      <c r="E12" s="180"/>
      <c r="F12" s="185"/>
      <c r="G12" s="49" t="s">
        <v>10</v>
      </c>
      <c r="H12" s="50" t="s">
        <v>32</v>
      </c>
      <c r="I12" s="51" t="s">
        <v>1</v>
      </c>
      <c r="J12" s="51" t="s">
        <v>34</v>
      </c>
      <c r="K12" s="51" t="s">
        <v>35</v>
      </c>
      <c r="L12" s="52">
        <v>2</v>
      </c>
    </row>
    <row r="13" spans="1:12" ht="15" customHeight="1">
      <c r="A13" s="131"/>
      <c r="B13" s="178"/>
      <c r="C13" s="179"/>
      <c r="D13" s="179"/>
      <c r="E13" s="180"/>
      <c r="F13" s="185"/>
      <c r="G13" s="53" t="s">
        <v>15</v>
      </c>
      <c r="H13" s="54" t="s">
        <v>33</v>
      </c>
      <c r="I13" s="55"/>
      <c r="J13" s="55" t="s">
        <v>36</v>
      </c>
      <c r="K13" s="56" t="s">
        <v>37</v>
      </c>
      <c r="L13" s="57">
        <v>100</v>
      </c>
    </row>
    <row r="14" spans="1:12" ht="15" customHeight="1">
      <c r="A14" s="131"/>
      <c r="B14" s="178"/>
      <c r="C14" s="179"/>
      <c r="D14" s="179"/>
      <c r="E14" s="180"/>
      <c r="F14" s="185"/>
      <c r="G14" s="49" t="s">
        <v>13</v>
      </c>
      <c r="H14" s="50" t="s">
        <v>10</v>
      </c>
      <c r="I14" s="51" t="s">
        <v>38</v>
      </c>
      <c r="J14" s="51"/>
      <c r="K14" s="51" t="s">
        <v>1</v>
      </c>
      <c r="L14" s="58"/>
    </row>
    <row r="15" spans="1:12" ht="15" customHeight="1">
      <c r="A15" s="176"/>
      <c r="B15" s="181"/>
      <c r="C15" s="182"/>
      <c r="D15" s="182"/>
      <c r="E15" s="183"/>
      <c r="F15" s="186"/>
      <c r="G15" s="59" t="s">
        <v>20</v>
      </c>
      <c r="H15" s="60" t="s">
        <v>39</v>
      </c>
      <c r="I15" s="61"/>
      <c r="J15" s="62"/>
      <c r="K15" s="62"/>
      <c r="L15" s="63"/>
    </row>
    <row r="16" spans="1:12" ht="16.5" customHeight="1">
      <c r="A16" s="64"/>
      <c r="B16" s="65"/>
      <c r="C16" s="36"/>
      <c r="D16" s="36"/>
      <c r="E16" s="36"/>
      <c r="F16" s="36"/>
      <c r="G16" s="36"/>
      <c r="H16" s="36"/>
      <c r="I16" s="36"/>
      <c r="J16" s="36"/>
      <c r="K16" s="66"/>
      <c r="L16" s="64"/>
    </row>
    <row r="17" spans="1:12" ht="22.5" customHeight="1">
      <c r="A17" s="187" t="s">
        <v>40</v>
      </c>
      <c r="B17" s="188"/>
      <c r="C17" s="188"/>
      <c r="D17" s="188"/>
      <c r="E17" s="120"/>
      <c r="F17" s="189" t="s">
        <v>25</v>
      </c>
      <c r="G17" s="120"/>
      <c r="H17" s="189" t="s">
        <v>41</v>
      </c>
      <c r="I17" s="120"/>
      <c r="J17" s="119" t="s">
        <v>26</v>
      </c>
      <c r="K17" s="120"/>
      <c r="L17" s="67" t="s">
        <v>42</v>
      </c>
    </row>
    <row r="18" spans="1:12" ht="21.75" customHeight="1">
      <c r="A18" s="121" t="s">
        <v>43</v>
      </c>
      <c r="B18" s="193" t="s">
        <v>10</v>
      </c>
      <c r="C18" s="172"/>
      <c r="D18" s="172"/>
      <c r="E18" s="194"/>
      <c r="F18" s="68">
        <f>ROUNDUP((G10/4+250)/500,1)</f>
        <v>0.6</v>
      </c>
      <c r="G18" s="69" t="s">
        <v>44</v>
      </c>
      <c r="H18" s="123">
        <v>155500</v>
      </c>
      <c r="I18" s="124"/>
      <c r="J18" s="125">
        <f t="shared" ref="J18:J23" si="0">H18*F18</f>
        <v>93300</v>
      </c>
      <c r="K18" s="124"/>
      <c r="L18" s="70" t="s">
        <v>45</v>
      </c>
    </row>
    <row r="19" spans="1:12" ht="21.75" customHeight="1">
      <c r="A19" s="122"/>
      <c r="B19" s="195" t="s">
        <v>15</v>
      </c>
      <c r="C19" s="156"/>
      <c r="D19" s="156"/>
      <c r="E19" s="129"/>
      <c r="F19" s="106">
        <f>((ROUNDUP(L13/16,1)*(G10+250))/500)</f>
        <v>5.67</v>
      </c>
      <c r="G19" s="72" t="s">
        <v>44</v>
      </c>
      <c r="H19" s="116">
        <v>51090</v>
      </c>
      <c r="I19" s="117"/>
      <c r="J19" s="118">
        <f t="shared" si="0"/>
        <v>289680.3</v>
      </c>
      <c r="K19" s="117"/>
      <c r="L19" s="73" t="str">
        <f>H13</f>
        <v>미모80</v>
      </c>
    </row>
    <row r="20" spans="1:12" ht="21.75" customHeight="1">
      <c r="A20" s="127" t="s">
        <v>46</v>
      </c>
      <c r="B20" s="74" t="s">
        <v>47</v>
      </c>
      <c r="C20" s="75"/>
      <c r="D20" s="128"/>
      <c r="E20" s="129"/>
      <c r="F20" s="76">
        <v>1</v>
      </c>
      <c r="G20" s="72" t="s">
        <v>48</v>
      </c>
      <c r="H20" s="116">
        <v>266000</v>
      </c>
      <c r="I20" s="117"/>
      <c r="J20" s="118">
        <f t="shared" si="0"/>
        <v>266000</v>
      </c>
      <c r="K20" s="117"/>
      <c r="L20" s="77"/>
    </row>
    <row r="21" spans="1:12" ht="21.75" customHeight="1">
      <c r="A21" s="122"/>
      <c r="B21" s="74" t="s">
        <v>49</v>
      </c>
      <c r="C21" s="75"/>
      <c r="D21" s="128"/>
      <c r="E21" s="129"/>
      <c r="F21" s="78">
        <f>L13</f>
        <v>100</v>
      </c>
      <c r="G21" s="72" t="s">
        <v>50</v>
      </c>
      <c r="H21" s="116">
        <f>10050*1.4</f>
        <v>14070</v>
      </c>
      <c r="I21" s="117"/>
      <c r="J21" s="118">
        <f t="shared" si="0"/>
        <v>1407000</v>
      </c>
      <c r="K21" s="117"/>
      <c r="L21" s="77"/>
    </row>
    <row r="22" spans="1:12" ht="21.75" customHeight="1">
      <c r="A22" s="130" t="s">
        <v>68</v>
      </c>
      <c r="B22" s="79" t="s">
        <v>10</v>
      </c>
      <c r="C22" s="80">
        <v>4</v>
      </c>
      <c r="D22" s="126" t="s">
        <v>34</v>
      </c>
      <c r="E22" s="117"/>
      <c r="F22" s="76">
        <v>4</v>
      </c>
      <c r="G22" s="72" t="s">
        <v>51</v>
      </c>
      <c r="H22" s="116">
        <v>14000</v>
      </c>
      <c r="I22" s="117"/>
      <c r="J22" s="118">
        <f t="shared" si="0"/>
        <v>56000</v>
      </c>
      <c r="K22" s="117"/>
      <c r="L22" s="77"/>
    </row>
    <row r="23" spans="1:12" ht="21.75" customHeight="1">
      <c r="A23" s="131"/>
      <c r="B23" s="79" t="s">
        <v>15</v>
      </c>
      <c r="C23" s="80">
        <v>4</v>
      </c>
      <c r="D23" s="126" t="s">
        <v>36</v>
      </c>
      <c r="E23" s="117"/>
      <c r="F23" s="71">
        <f>ROUNDUP(L13/16,0)*4</f>
        <v>28</v>
      </c>
      <c r="G23" s="72" t="s">
        <v>51</v>
      </c>
      <c r="H23" s="116">
        <f>H22</f>
        <v>14000</v>
      </c>
      <c r="I23" s="117"/>
      <c r="J23" s="118">
        <f t="shared" si="0"/>
        <v>392000</v>
      </c>
      <c r="K23" s="117"/>
      <c r="L23" s="81" t="s">
        <v>52</v>
      </c>
    </row>
    <row r="24" spans="1:12" ht="21.75" customHeight="1">
      <c r="A24" s="130" t="s">
        <v>69</v>
      </c>
      <c r="B24" s="79" t="s">
        <v>10</v>
      </c>
      <c r="C24" s="82">
        <v>4</v>
      </c>
      <c r="D24" s="126" t="s">
        <v>34</v>
      </c>
      <c r="E24" s="117"/>
      <c r="F24" s="76">
        <v>4</v>
      </c>
      <c r="G24" s="72" t="s">
        <v>51</v>
      </c>
      <c r="H24" s="116">
        <f>H23</f>
        <v>14000</v>
      </c>
      <c r="I24" s="117"/>
      <c r="J24" s="118">
        <f>H24*F24</f>
        <v>56000</v>
      </c>
      <c r="K24" s="117"/>
      <c r="L24" s="77"/>
    </row>
    <row r="25" spans="1:12" ht="21.75" customHeight="1">
      <c r="A25" s="131"/>
      <c r="B25" s="74" t="s">
        <v>15</v>
      </c>
      <c r="C25" s="82">
        <v>4</v>
      </c>
      <c r="D25" s="126" t="s">
        <v>36</v>
      </c>
      <c r="E25" s="117"/>
      <c r="F25" s="71">
        <f>F23</f>
        <v>28</v>
      </c>
      <c r="G25" s="72" t="s">
        <v>51</v>
      </c>
      <c r="H25" s="116">
        <f>H24</f>
        <v>14000</v>
      </c>
      <c r="I25" s="117"/>
      <c r="J25" s="118">
        <f>H25*F25</f>
        <v>392000</v>
      </c>
      <c r="K25" s="117"/>
      <c r="L25" s="81" t="s">
        <v>52</v>
      </c>
    </row>
    <row r="26" spans="1:12" ht="21.75" customHeight="1">
      <c r="A26" s="190" t="s">
        <v>13</v>
      </c>
      <c r="B26" s="79" t="s">
        <v>53</v>
      </c>
      <c r="C26" s="83"/>
      <c r="D26" s="126"/>
      <c r="E26" s="117"/>
      <c r="F26" s="84">
        <v>1</v>
      </c>
      <c r="G26" s="72" t="s">
        <v>48</v>
      </c>
      <c r="H26" s="116">
        <v>250000</v>
      </c>
      <c r="I26" s="117"/>
      <c r="J26" s="118">
        <f>H26*F26</f>
        <v>250000</v>
      </c>
      <c r="K26" s="117"/>
      <c r="L26" s="77"/>
    </row>
    <row r="27" spans="1:12" s="112" customFormat="1" ht="21.75" hidden="1" customHeight="1">
      <c r="A27" s="191"/>
      <c r="B27" s="79" t="s">
        <v>71</v>
      </c>
      <c r="C27" s="90"/>
      <c r="D27" s="108"/>
      <c r="E27" s="109"/>
      <c r="F27" s="84">
        <v>0</v>
      </c>
      <c r="G27" s="87" t="s">
        <v>72</v>
      </c>
      <c r="H27" s="116">
        <v>400000</v>
      </c>
      <c r="I27" s="117"/>
      <c r="J27" s="118">
        <f t="shared" ref="J27:J28" si="1">H27*F27</f>
        <v>0</v>
      </c>
      <c r="K27" s="117"/>
      <c r="L27" s="215" t="s">
        <v>74</v>
      </c>
    </row>
    <row r="28" spans="1:12" s="112" customFormat="1" ht="21.75" hidden="1" customHeight="1">
      <c r="A28" s="191"/>
      <c r="B28" s="79" t="s">
        <v>73</v>
      </c>
      <c r="C28" s="90"/>
      <c r="D28" s="108"/>
      <c r="E28" s="109"/>
      <c r="F28" s="84">
        <v>0</v>
      </c>
      <c r="G28" s="87" t="s">
        <v>72</v>
      </c>
      <c r="H28" s="116">
        <v>400000</v>
      </c>
      <c r="I28" s="117"/>
      <c r="J28" s="118">
        <f t="shared" si="1"/>
        <v>0</v>
      </c>
      <c r="K28" s="117"/>
      <c r="L28" s="215" t="s">
        <v>75</v>
      </c>
    </row>
    <row r="29" spans="1:12" s="112" customFormat="1" ht="21.75" hidden="1" customHeight="1">
      <c r="A29" s="191"/>
      <c r="B29" s="79"/>
      <c r="C29" s="90"/>
      <c r="D29" s="108"/>
      <c r="E29" s="109"/>
      <c r="F29" s="84"/>
      <c r="G29" s="87"/>
      <c r="H29" s="110"/>
      <c r="I29" s="109"/>
      <c r="J29" s="111"/>
      <c r="K29" s="109"/>
      <c r="L29" s="77"/>
    </row>
    <row r="30" spans="1:12" ht="21.75" customHeight="1">
      <c r="A30" s="122"/>
      <c r="B30" s="79" t="s">
        <v>14</v>
      </c>
      <c r="C30" s="83"/>
      <c r="D30" s="126"/>
      <c r="E30" s="117"/>
      <c r="F30" s="107">
        <f>ROUNDUP(F18,0)</f>
        <v>1</v>
      </c>
      <c r="G30" s="72" t="s">
        <v>44</v>
      </c>
      <c r="H30" s="116">
        <v>180000</v>
      </c>
      <c r="I30" s="117"/>
      <c r="J30" s="118">
        <f>H30*F30</f>
        <v>180000</v>
      </c>
      <c r="K30" s="117"/>
      <c r="L30" s="85" t="str">
        <f>I14</f>
        <v>단면무광</v>
      </c>
    </row>
    <row r="31" spans="1:12" ht="21.75" customHeight="1">
      <c r="A31" s="192" t="s">
        <v>54</v>
      </c>
      <c r="B31" s="152"/>
      <c r="C31" s="152"/>
      <c r="D31" s="152"/>
      <c r="E31" s="152"/>
      <c r="F31" s="86"/>
      <c r="G31" s="87"/>
      <c r="H31" s="157"/>
      <c r="I31" s="117"/>
      <c r="J31" s="208">
        <f>SUM(J18:K30)</f>
        <v>3381980.3</v>
      </c>
      <c r="K31" s="117"/>
      <c r="L31" s="88"/>
    </row>
    <row r="32" spans="1:12" ht="21.75" customHeight="1">
      <c r="A32" s="89" t="s">
        <v>55</v>
      </c>
      <c r="B32" s="90"/>
      <c r="C32" s="91">
        <v>0.1</v>
      </c>
      <c r="D32" s="126"/>
      <c r="E32" s="117"/>
      <c r="F32" s="162" t="str">
        <f>A31&amp;" × "&amp;C32</f>
        <v>①계 × 0.1</v>
      </c>
      <c r="G32" s="152"/>
      <c r="H32" s="152"/>
      <c r="I32" s="153"/>
      <c r="J32" s="214">
        <f>J31*C32</f>
        <v>338198.03</v>
      </c>
      <c r="K32" s="117"/>
      <c r="L32" s="92"/>
    </row>
    <row r="33" spans="1:12" ht="21.75" customHeight="1">
      <c r="A33" s="89" t="s">
        <v>56</v>
      </c>
      <c r="B33" s="90"/>
      <c r="C33" s="93">
        <v>0.2</v>
      </c>
      <c r="D33" s="126"/>
      <c r="E33" s="117"/>
      <c r="F33" s="162" t="str">
        <f>"("&amp;A31&amp;" + "&amp;A32&amp;"-"&amp;A18&amp;")×"&amp;C33</f>
        <v>(①계 + ②일반관리비-용지대)×0.2</v>
      </c>
      <c r="G33" s="152"/>
      <c r="H33" s="152"/>
      <c r="I33" s="153"/>
      <c r="J33" s="214">
        <f>(J31+J32-J18-J19)*C33</f>
        <v>667439.60600000015</v>
      </c>
      <c r="K33" s="117"/>
      <c r="L33" s="92"/>
    </row>
    <row r="34" spans="1:12" ht="21.75" customHeight="1">
      <c r="A34" s="155" t="s">
        <v>57</v>
      </c>
      <c r="B34" s="156"/>
      <c r="C34" s="156"/>
      <c r="D34" s="156"/>
      <c r="E34" s="129"/>
      <c r="F34" s="94"/>
      <c r="G34" s="95"/>
      <c r="H34" s="198"/>
      <c r="I34" s="129"/>
      <c r="J34" s="209">
        <f>SUM(J31:K33)</f>
        <v>4387617.9360000007</v>
      </c>
      <c r="K34" s="129"/>
      <c r="L34" s="96"/>
    </row>
    <row r="35" spans="1:12" ht="21.75" customHeight="1">
      <c r="A35" s="202" t="s">
        <v>58</v>
      </c>
      <c r="B35" s="156"/>
      <c r="C35" s="156"/>
      <c r="D35" s="156"/>
      <c r="E35" s="129"/>
      <c r="F35" s="94"/>
      <c r="G35" s="199">
        <v>0.85</v>
      </c>
      <c r="H35" s="200"/>
      <c r="I35" s="97"/>
      <c r="J35" s="210">
        <f>ROUND(J34*G35,0)</f>
        <v>3729475</v>
      </c>
      <c r="K35" s="117"/>
      <c r="L35" s="98"/>
    </row>
    <row r="36" spans="1:12" ht="21.75" customHeight="1">
      <c r="A36" s="202" t="s">
        <v>59</v>
      </c>
      <c r="B36" s="156"/>
      <c r="C36" s="156"/>
      <c r="D36" s="156"/>
      <c r="E36" s="129"/>
      <c r="F36" s="94"/>
      <c r="G36" s="199"/>
      <c r="H36" s="200"/>
      <c r="I36" s="97"/>
      <c r="J36" s="211">
        <f>VALUE(RIGHT(J35,3))</f>
        <v>475</v>
      </c>
      <c r="K36" s="180"/>
      <c r="L36" s="98"/>
    </row>
    <row r="37" spans="1:12" ht="21.75" customHeight="1">
      <c r="A37" s="203" t="s">
        <v>60</v>
      </c>
      <c r="B37" s="165"/>
      <c r="C37" s="165"/>
      <c r="D37" s="165"/>
      <c r="E37" s="174"/>
      <c r="F37" s="201"/>
      <c r="G37" s="165"/>
      <c r="H37" s="165"/>
      <c r="I37" s="174"/>
      <c r="J37" s="212">
        <f>ROUND(J35-J36,0)</f>
        <v>3729000</v>
      </c>
      <c r="K37" s="124"/>
      <c r="L37" s="99"/>
    </row>
    <row r="38" spans="1:12" ht="21.75" customHeight="1">
      <c r="A38" s="202" t="s">
        <v>61</v>
      </c>
      <c r="B38" s="156"/>
      <c r="C38" s="156"/>
      <c r="D38" s="156"/>
      <c r="E38" s="129"/>
      <c r="F38" s="86"/>
      <c r="G38" s="83"/>
      <c r="H38" s="196"/>
      <c r="I38" s="117"/>
      <c r="J38" s="213">
        <f>J37*0.1</f>
        <v>372900</v>
      </c>
      <c r="K38" s="117"/>
      <c r="L38" s="88"/>
    </row>
    <row r="39" spans="1:12" ht="21.75" customHeight="1" thickBot="1">
      <c r="A39" s="204" t="s">
        <v>62</v>
      </c>
      <c r="B39" s="205"/>
      <c r="C39" s="205"/>
      <c r="D39" s="205"/>
      <c r="E39" s="206"/>
      <c r="F39" s="100"/>
      <c r="G39" s="101"/>
      <c r="H39" s="197"/>
      <c r="I39" s="183"/>
      <c r="J39" s="207">
        <f>SUM(J37:K38)</f>
        <v>4101900</v>
      </c>
      <c r="K39" s="206"/>
      <c r="L39" s="102"/>
    </row>
    <row r="40" spans="1:12" ht="14.25" thickBot="1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5"/>
    </row>
    <row r="41" spans="1:12" ht="13.5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</row>
    <row r="42" spans="1:12" ht="13.5">
      <c r="A42" s="103"/>
      <c r="B42" s="103"/>
      <c r="C42" s="103"/>
      <c r="D42" s="103"/>
      <c r="E42" s="103"/>
      <c r="F42" s="103"/>
      <c r="G42" s="103"/>
      <c r="H42" s="103"/>
      <c r="I42" s="104"/>
      <c r="J42" s="103"/>
      <c r="K42" s="104"/>
      <c r="L42" s="103"/>
    </row>
    <row r="43" spans="1:12" ht="13.5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</row>
    <row r="44" spans="1:12" ht="13.5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</row>
    <row r="45" spans="1:12" ht="13.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</row>
    <row r="46" spans="1:12" ht="13.5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</row>
    <row r="47" spans="1:12" ht="13.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</row>
    <row r="48" spans="1:12" ht="13.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</row>
    <row r="49" spans="1:12" ht="13.5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</row>
    <row r="50" spans="1:12" ht="13.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ht="13.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</row>
    <row r="52" spans="1:12" ht="13.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ht="13.5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</row>
    <row r="54" spans="1:12" ht="13.5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</row>
    <row r="55" spans="1:12" ht="13.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</row>
    <row r="56" spans="1:12" ht="13.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</row>
    <row r="57" spans="1:12" ht="13.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</row>
    <row r="58" spans="1:12" ht="13.5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</row>
    <row r="59" spans="1:12" ht="13.5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</row>
    <row r="60" spans="1:12" ht="13.5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</row>
    <row r="61" spans="1:12" ht="13.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</row>
    <row r="62" spans="1:12" ht="13.5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</row>
    <row r="63" spans="1:12" ht="13.5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</row>
    <row r="64" spans="1:12" ht="13.5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</row>
    <row r="65" spans="1:12" ht="13.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</row>
    <row r="66" spans="1:12" ht="13.5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</row>
    <row r="67" spans="1:12" ht="13.5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</row>
    <row r="68" spans="1:12" ht="13.5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</row>
    <row r="69" spans="1:12" ht="13.5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</row>
    <row r="70" spans="1:12" ht="13.5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</row>
    <row r="71" spans="1:12" ht="13.5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</row>
    <row r="72" spans="1:12" ht="13.5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</row>
    <row r="73" spans="1:12" ht="13.5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</row>
    <row r="74" spans="1:12" ht="13.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</row>
    <row r="75" spans="1:12" ht="13.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</row>
    <row r="76" spans="1:12" ht="13.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ht="13.5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</row>
    <row r="78" spans="1:12" ht="13.5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</row>
    <row r="79" spans="1:12" ht="13.5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</row>
    <row r="80" spans="1:12" ht="13.5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</row>
    <row r="81" spans="1:12" ht="13.5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</row>
    <row r="82" spans="1:12" ht="13.5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</row>
    <row r="83" spans="1:12" ht="13.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</row>
    <row r="84" spans="1:12" ht="13.5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</row>
    <row r="85" spans="1:12" ht="13.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</row>
    <row r="86" spans="1:12" ht="13.5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</row>
    <row r="87" spans="1:12" ht="13.5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</row>
    <row r="88" spans="1:12" ht="13.5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</row>
    <row r="89" spans="1:12" ht="13.5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</row>
    <row r="90" spans="1:12" ht="13.5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</row>
    <row r="91" spans="1:12" ht="13.5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</row>
    <row r="92" spans="1:12" ht="13.5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</row>
    <row r="93" spans="1:12" ht="13.5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</row>
    <row r="94" spans="1:12" ht="13.5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</row>
    <row r="95" spans="1:12" ht="13.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</row>
    <row r="96" spans="1:12" ht="13.5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</row>
    <row r="97" spans="1:12" ht="13.5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</row>
    <row r="98" spans="1:12" ht="13.5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</row>
    <row r="99" spans="1:12" ht="13.5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</row>
    <row r="100" spans="1:12" ht="13.5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</row>
    <row r="101" spans="1:12" ht="13.5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</row>
    <row r="102" spans="1:12" ht="13.5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</row>
    <row r="103" spans="1:12" ht="13.5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</row>
    <row r="104" spans="1:12" ht="13.5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</row>
    <row r="105" spans="1:12" ht="13.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</row>
    <row r="106" spans="1:12" ht="13.5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</row>
    <row r="107" spans="1:12" ht="13.5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</row>
    <row r="108" spans="1:12" ht="13.5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</row>
    <row r="109" spans="1:12" ht="13.5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</row>
    <row r="110" spans="1:12" ht="13.5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</row>
    <row r="111" spans="1:12" ht="13.5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</row>
    <row r="112" spans="1:12" ht="13.5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</row>
    <row r="113" spans="1:12" ht="13.5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</row>
    <row r="114" spans="1:12" ht="13.5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</row>
    <row r="115" spans="1:12" ht="13.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</row>
    <row r="116" spans="1:12" ht="13.5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</row>
    <row r="117" spans="1:12" ht="13.5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</row>
    <row r="118" spans="1:12" ht="13.5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</row>
    <row r="119" spans="1:12" ht="13.5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</row>
    <row r="120" spans="1:12" ht="13.5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</row>
    <row r="121" spans="1:12" ht="13.5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</row>
    <row r="122" spans="1:12" ht="13.5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</row>
    <row r="123" spans="1:12" ht="13.5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</row>
    <row r="124" spans="1:12" ht="13.5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</row>
    <row r="125" spans="1:12" ht="13.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</row>
    <row r="126" spans="1:12" ht="13.5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</row>
    <row r="127" spans="1:12" ht="13.5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</row>
    <row r="128" spans="1:12" ht="13.5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</row>
    <row r="129" spans="1:12" ht="13.5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</row>
    <row r="130" spans="1:12" ht="13.5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</row>
    <row r="131" spans="1:12" ht="13.5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</row>
    <row r="132" spans="1:12" ht="13.5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</row>
    <row r="133" spans="1:12" ht="13.5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</row>
    <row r="134" spans="1:12" ht="13.5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</row>
    <row r="135" spans="1:12" ht="13.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</row>
    <row r="136" spans="1:12" ht="13.5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</row>
    <row r="137" spans="1:12" ht="13.5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</row>
    <row r="138" spans="1:12" ht="13.5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</row>
    <row r="139" spans="1:12" ht="13.5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</row>
    <row r="140" spans="1:12" ht="13.5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</row>
    <row r="141" spans="1:12" ht="13.5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</row>
    <row r="142" spans="1:12" ht="13.5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</row>
    <row r="143" spans="1:12" ht="13.5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</row>
    <row r="144" spans="1:12" ht="13.5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</row>
    <row r="145" spans="1:12" ht="13.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</row>
    <row r="146" spans="1:12" ht="13.5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</row>
    <row r="147" spans="1:12" ht="13.5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</row>
    <row r="148" spans="1:12" ht="13.5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</row>
    <row r="149" spans="1:12" ht="13.5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</row>
    <row r="150" spans="1:12" ht="13.5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</row>
    <row r="151" spans="1:12" ht="13.5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</row>
    <row r="152" spans="1:12" ht="13.5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</row>
    <row r="153" spans="1:12" ht="13.5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</row>
    <row r="154" spans="1:12" ht="13.5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</row>
    <row r="155" spans="1:12" ht="13.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</row>
    <row r="156" spans="1:12" ht="13.5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</row>
    <row r="157" spans="1:12" ht="13.5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</row>
    <row r="158" spans="1:12" ht="13.5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</row>
    <row r="159" spans="1:12" ht="13.5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</row>
    <row r="160" spans="1:12" ht="13.5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</row>
    <row r="161" spans="1:12" ht="13.5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</row>
    <row r="162" spans="1:12" ht="13.5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</row>
    <row r="163" spans="1:12" ht="13.5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</row>
    <row r="164" spans="1:12" ht="13.5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</row>
    <row r="165" spans="1:12" ht="13.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</row>
    <row r="166" spans="1:12" ht="13.5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</row>
    <row r="167" spans="1:12" ht="13.5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</row>
    <row r="168" spans="1:12" ht="13.5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</row>
    <row r="169" spans="1:12" ht="13.5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</row>
    <row r="170" spans="1:12" ht="13.5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</row>
    <row r="171" spans="1:12" ht="13.5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</row>
    <row r="172" spans="1:12" ht="13.5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</row>
    <row r="173" spans="1:12" ht="13.5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</row>
    <row r="174" spans="1:12" ht="13.5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</row>
    <row r="175" spans="1:12" ht="13.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</row>
    <row r="176" spans="1:12" ht="13.5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</row>
    <row r="177" spans="1:12" ht="13.5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</row>
    <row r="178" spans="1:12" ht="13.5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</row>
    <row r="179" spans="1:12" ht="13.5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</row>
    <row r="180" spans="1:12" ht="13.5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</row>
    <row r="181" spans="1:12" ht="13.5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</row>
    <row r="182" spans="1:12" ht="13.5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</row>
    <row r="183" spans="1:12" ht="13.5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</row>
    <row r="184" spans="1:12" ht="13.5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</row>
    <row r="185" spans="1:12" ht="13.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</row>
    <row r="186" spans="1:12" ht="13.5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</row>
    <row r="187" spans="1:12" ht="13.5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</row>
    <row r="188" spans="1:12" ht="13.5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</row>
    <row r="189" spans="1:12" ht="13.5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</row>
    <row r="190" spans="1:12" ht="13.5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</row>
    <row r="191" spans="1:12" ht="13.5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</row>
    <row r="192" spans="1:12" ht="13.5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</row>
    <row r="193" spans="1:12" ht="13.5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</row>
    <row r="194" spans="1:12" ht="13.5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</row>
    <row r="195" spans="1:12" ht="13.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</row>
    <row r="196" spans="1:12" ht="13.5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</row>
    <row r="197" spans="1:12" ht="13.5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</row>
    <row r="198" spans="1:12" ht="13.5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</row>
    <row r="199" spans="1:12" ht="13.5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</row>
    <row r="200" spans="1:12" ht="13.5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</row>
    <row r="201" spans="1:12" ht="13.5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</row>
    <row r="202" spans="1:12" ht="13.5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</row>
    <row r="203" spans="1:12" ht="13.5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</row>
    <row r="204" spans="1:12" ht="13.5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</row>
    <row r="205" spans="1:12" ht="13.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</row>
    <row r="206" spans="1:12" ht="13.5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</row>
    <row r="207" spans="1:12" ht="13.5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</row>
    <row r="208" spans="1:12" ht="13.5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</row>
    <row r="209" spans="1:12" ht="13.5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</row>
    <row r="210" spans="1:12" ht="13.5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</row>
    <row r="211" spans="1:12" ht="13.5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</row>
    <row r="212" spans="1:12" ht="13.5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</row>
    <row r="213" spans="1:12" ht="13.5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</row>
    <row r="214" spans="1:12" ht="13.5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</row>
    <row r="215" spans="1:12" ht="13.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</row>
    <row r="216" spans="1:12" ht="13.5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</row>
    <row r="217" spans="1:12" ht="13.5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</row>
    <row r="218" spans="1:12" ht="13.5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</row>
    <row r="219" spans="1:12" ht="13.5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</row>
    <row r="220" spans="1:12" ht="13.5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</row>
    <row r="221" spans="1:12" ht="13.5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</row>
    <row r="222" spans="1:12" ht="13.5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</row>
    <row r="223" spans="1:12" ht="13.5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</row>
    <row r="224" spans="1:12" ht="13.5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</row>
    <row r="225" spans="1:12" ht="13.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</row>
    <row r="226" spans="1:12" ht="13.5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</row>
    <row r="227" spans="1:12" ht="13.5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</row>
    <row r="228" spans="1:12" ht="13.5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</row>
    <row r="229" spans="1:12" ht="13.5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</row>
    <row r="230" spans="1:12" ht="13.5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</row>
    <row r="231" spans="1:12" ht="13.5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</row>
    <row r="232" spans="1:12" ht="13.5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</row>
    <row r="233" spans="1:12" ht="13.5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</row>
    <row r="234" spans="1:12" ht="13.5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</row>
    <row r="235" spans="1:12" ht="13.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</row>
    <row r="236" spans="1:12" ht="13.5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</row>
    <row r="237" spans="1:12" ht="13.5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</row>
    <row r="238" spans="1:12" ht="13.5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</row>
    <row r="239" spans="1:12" ht="13.5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</row>
    <row r="240" spans="1:12" ht="13.5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</row>
    <row r="241" spans="1:12" ht="13.5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</row>
    <row r="242" spans="1:12" ht="13.5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</row>
    <row r="243" spans="1:12" ht="13.5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</row>
    <row r="244" spans="1:12" ht="13.5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</row>
    <row r="245" spans="1:12" ht="13.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</row>
    <row r="246" spans="1:12" ht="13.5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</row>
    <row r="247" spans="1:12" ht="13.5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</row>
    <row r="248" spans="1:12" ht="13.5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</row>
    <row r="249" spans="1:12" ht="13.5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</row>
    <row r="250" spans="1:12" ht="13.5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</row>
    <row r="251" spans="1:12" ht="13.5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</row>
    <row r="252" spans="1:12" ht="13.5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</row>
    <row r="253" spans="1:12" ht="13.5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</row>
    <row r="254" spans="1:12" ht="13.5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</row>
    <row r="255" spans="1:12" ht="13.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</row>
    <row r="256" spans="1:12" ht="13.5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</row>
    <row r="257" spans="1:12" ht="13.5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</row>
    <row r="258" spans="1:12" ht="13.5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</row>
    <row r="259" spans="1:12" ht="13.5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</row>
    <row r="260" spans="1:12" ht="13.5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</row>
    <row r="261" spans="1:12" ht="13.5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</row>
    <row r="262" spans="1:12" ht="13.5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</row>
    <row r="263" spans="1:12" ht="13.5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</row>
    <row r="264" spans="1:12" ht="13.5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</row>
    <row r="265" spans="1:12" ht="13.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</row>
    <row r="266" spans="1:12" ht="13.5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</row>
    <row r="267" spans="1:12" ht="13.5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</row>
    <row r="268" spans="1:12" ht="13.5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</row>
    <row r="269" spans="1:12" ht="13.5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</row>
    <row r="270" spans="1:12" ht="13.5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</row>
    <row r="271" spans="1:12" ht="13.5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</row>
    <row r="272" spans="1:12" ht="13.5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</row>
    <row r="273" spans="1:12" ht="13.5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</row>
    <row r="274" spans="1:12" ht="13.5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</row>
    <row r="275" spans="1:12" ht="13.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</row>
    <row r="276" spans="1:12" ht="13.5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</row>
    <row r="277" spans="1:12" ht="13.5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</row>
    <row r="278" spans="1:12" ht="13.5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</row>
    <row r="279" spans="1:12" ht="13.5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</row>
    <row r="280" spans="1:12" ht="13.5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</row>
    <row r="281" spans="1:12" ht="13.5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</row>
    <row r="282" spans="1:12" ht="13.5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</row>
    <row r="283" spans="1:12" ht="13.5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</row>
    <row r="284" spans="1:12" ht="13.5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</row>
    <row r="285" spans="1:12" ht="13.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</row>
    <row r="286" spans="1:12" ht="13.5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</row>
    <row r="287" spans="1:12" ht="13.5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</row>
    <row r="288" spans="1:12" ht="13.5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</row>
    <row r="289" spans="1:12" ht="13.5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</row>
    <row r="290" spans="1:12" ht="13.5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</row>
    <row r="291" spans="1:12" ht="13.5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</row>
    <row r="292" spans="1:12" ht="13.5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</row>
    <row r="293" spans="1:12" ht="13.5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</row>
    <row r="294" spans="1:12" ht="13.5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</row>
    <row r="295" spans="1:12" ht="13.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</row>
    <row r="296" spans="1:12" ht="13.5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</row>
    <row r="297" spans="1:12" ht="13.5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</row>
    <row r="298" spans="1:12" ht="13.5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</row>
    <row r="299" spans="1:12" ht="13.5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</row>
    <row r="300" spans="1:12" ht="13.5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</row>
    <row r="301" spans="1:12" ht="13.5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</row>
    <row r="302" spans="1:12" ht="13.5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</row>
    <row r="303" spans="1:12" ht="13.5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</row>
    <row r="304" spans="1:12" ht="13.5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</row>
    <row r="305" spans="1:12" ht="13.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</row>
    <row r="306" spans="1:12" ht="13.5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</row>
    <row r="307" spans="1:12" ht="13.5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</row>
    <row r="308" spans="1:12" ht="13.5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</row>
    <row r="309" spans="1:12" ht="13.5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</row>
    <row r="310" spans="1:12" ht="13.5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</row>
    <row r="311" spans="1:12" ht="13.5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</row>
    <row r="312" spans="1:12" ht="13.5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</row>
    <row r="313" spans="1:12" ht="13.5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</row>
    <row r="314" spans="1:12" ht="13.5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</row>
    <row r="315" spans="1:12" ht="13.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</row>
    <row r="316" spans="1:12" ht="13.5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</row>
    <row r="317" spans="1:12" ht="13.5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</row>
    <row r="318" spans="1:12" ht="13.5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</row>
    <row r="319" spans="1:12" ht="13.5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</row>
    <row r="320" spans="1:12" ht="13.5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</row>
    <row r="321" spans="1:12" ht="13.5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</row>
    <row r="322" spans="1:12" ht="13.5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</row>
    <row r="323" spans="1:12" ht="13.5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</row>
    <row r="324" spans="1:12" ht="13.5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</row>
    <row r="325" spans="1:12" ht="13.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</row>
    <row r="326" spans="1:12" ht="13.5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</row>
    <row r="327" spans="1:12" ht="13.5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</row>
    <row r="328" spans="1:12" ht="13.5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</row>
    <row r="329" spans="1:12" ht="13.5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</row>
    <row r="330" spans="1:12" ht="13.5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</row>
    <row r="331" spans="1:12" ht="13.5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</row>
    <row r="332" spans="1:12" ht="13.5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</row>
    <row r="333" spans="1:12" ht="13.5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</row>
    <row r="334" spans="1:12" ht="13.5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</row>
    <row r="335" spans="1:12" ht="13.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</row>
    <row r="336" spans="1:12" ht="13.5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</row>
    <row r="337" spans="1:12" ht="13.5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</row>
    <row r="338" spans="1:12" ht="13.5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</row>
    <row r="339" spans="1:12" ht="13.5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</row>
    <row r="340" spans="1:12" ht="13.5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</row>
    <row r="341" spans="1:12" ht="13.5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</row>
    <row r="342" spans="1:12" ht="13.5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</row>
    <row r="343" spans="1:12" ht="13.5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</row>
    <row r="344" spans="1:12" ht="13.5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</row>
    <row r="345" spans="1:12" ht="13.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</row>
    <row r="346" spans="1:12" ht="13.5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</row>
    <row r="347" spans="1:12" ht="13.5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</row>
    <row r="348" spans="1:12" ht="13.5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</row>
    <row r="349" spans="1:12" ht="13.5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</row>
    <row r="350" spans="1:12" ht="13.5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</row>
    <row r="351" spans="1:12" ht="13.5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</row>
    <row r="352" spans="1:12" ht="13.5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</row>
    <row r="353" spans="1:12" ht="13.5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</row>
    <row r="354" spans="1:12" ht="13.5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</row>
    <row r="355" spans="1:12" ht="13.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</row>
    <row r="356" spans="1:12" ht="13.5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</row>
    <row r="357" spans="1:12" ht="13.5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</row>
    <row r="358" spans="1:12" ht="13.5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</row>
    <row r="359" spans="1:12" ht="13.5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</row>
    <row r="360" spans="1:12" ht="13.5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</row>
    <row r="361" spans="1:12" ht="13.5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</row>
    <row r="362" spans="1:12" ht="13.5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</row>
    <row r="363" spans="1:12" ht="13.5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</row>
    <row r="364" spans="1:12" ht="13.5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</row>
    <row r="365" spans="1:12" ht="13.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</row>
    <row r="366" spans="1:12" ht="13.5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</row>
    <row r="367" spans="1:12" ht="13.5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</row>
    <row r="368" spans="1:12" ht="13.5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</row>
    <row r="369" spans="1:12" ht="13.5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</row>
    <row r="370" spans="1:12" ht="13.5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</row>
    <row r="371" spans="1:12" ht="13.5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</row>
    <row r="372" spans="1:12" ht="13.5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</row>
    <row r="373" spans="1:12" ht="13.5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</row>
    <row r="374" spans="1:12" ht="13.5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</row>
    <row r="375" spans="1:12" ht="13.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</row>
    <row r="376" spans="1:12" ht="13.5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</row>
    <row r="377" spans="1:12" ht="13.5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</row>
    <row r="378" spans="1:12" ht="13.5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</row>
    <row r="379" spans="1:12" ht="13.5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</row>
    <row r="380" spans="1:12" ht="13.5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</row>
    <row r="381" spans="1:12" ht="13.5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</row>
    <row r="382" spans="1:12" ht="13.5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</row>
    <row r="383" spans="1:12" ht="13.5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</row>
    <row r="384" spans="1:12" ht="13.5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</row>
    <row r="385" spans="1:12" ht="13.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</row>
    <row r="386" spans="1:12" ht="13.5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</row>
    <row r="387" spans="1:12" ht="13.5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</row>
    <row r="388" spans="1:12" ht="13.5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</row>
    <row r="389" spans="1:12" ht="13.5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</row>
    <row r="390" spans="1:12" ht="13.5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</row>
    <row r="391" spans="1:12" ht="13.5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</row>
    <row r="392" spans="1:12" ht="13.5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</row>
    <row r="393" spans="1:12" ht="13.5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</row>
    <row r="394" spans="1:12" ht="13.5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</row>
    <row r="395" spans="1:12" ht="13.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</row>
    <row r="396" spans="1:12" ht="13.5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</row>
    <row r="397" spans="1:12" ht="13.5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</row>
    <row r="398" spans="1:12" ht="13.5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</row>
    <row r="399" spans="1:12" ht="13.5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</row>
    <row r="400" spans="1:12" ht="13.5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</row>
    <row r="401" spans="1:12" ht="13.5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</row>
    <row r="402" spans="1:12" ht="13.5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</row>
    <row r="403" spans="1:12" ht="13.5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</row>
    <row r="404" spans="1:12" ht="13.5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</row>
    <row r="405" spans="1:12" ht="13.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</row>
    <row r="406" spans="1:12" ht="13.5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</row>
    <row r="407" spans="1:12" ht="13.5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</row>
    <row r="408" spans="1:12" ht="13.5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</row>
    <row r="409" spans="1:12" ht="13.5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</row>
    <row r="410" spans="1:12" ht="13.5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</row>
    <row r="411" spans="1:12" ht="13.5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</row>
    <row r="412" spans="1:12" ht="13.5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</row>
    <row r="413" spans="1:12" ht="13.5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</row>
    <row r="414" spans="1:12" ht="13.5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</row>
    <row r="415" spans="1:12" ht="13.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</row>
    <row r="416" spans="1:12" ht="13.5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</row>
    <row r="417" spans="1:12" ht="13.5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</row>
    <row r="418" spans="1:12" ht="13.5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</row>
    <row r="419" spans="1:12" ht="13.5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</row>
    <row r="420" spans="1:12" ht="13.5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</row>
    <row r="421" spans="1:12" ht="13.5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</row>
    <row r="422" spans="1:12" ht="13.5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</row>
    <row r="423" spans="1:12" ht="13.5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</row>
    <row r="424" spans="1:12" ht="13.5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</row>
    <row r="425" spans="1:12" ht="13.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</row>
    <row r="426" spans="1:12" ht="13.5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</row>
    <row r="427" spans="1:12" ht="13.5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</row>
    <row r="428" spans="1:12" ht="13.5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</row>
    <row r="429" spans="1:12" ht="13.5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</row>
    <row r="430" spans="1:12" ht="13.5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</row>
    <row r="431" spans="1:12" ht="13.5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</row>
    <row r="432" spans="1:12" ht="13.5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</row>
    <row r="433" spans="1:12" ht="13.5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</row>
    <row r="434" spans="1:12" ht="13.5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</row>
    <row r="435" spans="1:12" ht="13.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</row>
    <row r="436" spans="1:12" ht="13.5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</row>
    <row r="437" spans="1:12" ht="13.5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</row>
    <row r="438" spans="1:12" ht="13.5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</row>
    <row r="439" spans="1:12" ht="13.5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</row>
    <row r="440" spans="1:12" ht="13.5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</row>
    <row r="441" spans="1:12" ht="13.5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</row>
    <row r="442" spans="1:12" ht="13.5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</row>
    <row r="443" spans="1:12" ht="13.5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</row>
    <row r="444" spans="1:12" ht="13.5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</row>
    <row r="445" spans="1:12" ht="13.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</row>
    <row r="446" spans="1:12" ht="13.5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</row>
    <row r="447" spans="1:12" ht="13.5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</row>
    <row r="448" spans="1:12" ht="13.5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</row>
    <row r="449" spans="1:12" ht="13.5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</row>
    <row r="450" spans="1:12" ht="13.5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</row>
    <row r="451" spans="1:12" ht="13.5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</row>
    <row r="452" spans="1:12" ht="13.5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</row>
    <row r="453" spans="1:12" ht="13.5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</row>
    <row r="454" spans="1:12" ht="13.5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</row>
    <row r="455" spans="1:12" ht="13.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</row>
    <row r="456" spans="1:12" ht="13.5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</row>
    <row r="457" spans="1:12" ht="13.5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</row>
    <row r="458" spans="1:12" ht="13.5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</row>
    <row r="459" spans="1:12" ht="13.5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</row>
    <row r="460" spans="1:12" ht="13.5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</row>
    <row r="461" spans="1:12" ht="13.5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</row>
    <row r="462" spans="1:12" ht="13.5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</row>
    <row r="463" spans="1:12" ht="13.5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</row>
    <row r="464" spans="1:12" ht="13.5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</row>
    <row r="465" spans="1:12" ht="13.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</row>
    <row r="466" spans="1:12" ht="13.5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</row>
    <row r="467" spans="1:12" ht="13.5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</row>
    <row r="468" spans="1:12" ht="13.5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</row>
    <row r="469" spans="1:12" ht="13.5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</row>
    <row r="470" spans="1:12" ht="13.5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</row>
    <row r="471" spans="1:12" ht="13.5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</row>
    <row r="472" spans="1:12" ht="13.5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</row>
    <row r="473" spans="1:12" ht="13.5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</row>
    <row r="474" spans="1:12" ht="13.5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</row>
    <row r="475" spans="1:12" ht="13.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</row>
    <row r="476" spans="1:12" ht="13.5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</row>
    <row r="477" spans="1:12" ht="13.5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</row>
    <row r="478" spans="1:12" ht="13.5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</row>
    <row r="479" spans="1:12" ht="13.5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</row>
    <row r="480" spans="1:12" ht="13.5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</row>
    <row r="481" spans="1:12" ht="13.5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</row>
    <row r="482" spans="1:12" ht="13.5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</row>
    <row r="483" spans="1:12" ht="13.5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</row>
    <row r="484" spans="1:12" ht="13.5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</row>
    <row r="485" spans="1:12" ht="13.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</row>
    <row r="486" spans="1:12" ht="13.5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</row>
    <row r="487" spans="1:12" ht="13.5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</row>
    <row r="488" spans="1:12" ht="13.5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</row>
    <row r="489" spans="1:12" ht="13.5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</row>
    <row r="490" spans="1:12" ht="13.5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</row>
    <row r="491" spans="1:12" ht="13.5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</row>
    <row r="492" spans="1:12" ht="13.5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</row>
    <row r="493" spans="1:12" ht="13.5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</row>
    <row r="494" spans="1:12" ht="13.5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</row>
    <row r="495" spans="1:12" ht="13.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</row>
    <row r="496" spans="1:12" ht="13.5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</row>
    <row r="497" spans="1:12" ht="13.5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</row>
    <row r="498" spans="1:12" ht="13.5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</row>
    <row r="499" spans="1:12" ht="13.5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</row>
    <row r="500" spans="1:12" ht="13.5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</row>
    <row r="501" spans="1:12" ht="13.5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</row>
    <row r="502" spans="1:12" ht="13.5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</row>
    <row r="503" spans="1:12" ht="13.5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</row>
    <row r="504" spans="1:12" ht="13.5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</row>
    <row r="505" spans="1:12" ht="13.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</row>
    <row r="506" spans="1:12" ht="13.5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</row>
    <row r="507" spans="1:12" ht="13.5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</row>
    <row r="508" spans="1:12" ht="13.5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</row>
    <row r="509" spans="1:12" ht="13.5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</row>
    <row r="510" spans="1:12" ht="13.5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</row>
    <row r="511" spans="1:12" ht="13.5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</row>
    <row r="512" spans="1:12" ht="13.5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</row>
    <row r="513" spans="1:12" ht="13.5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</row>
    <row r="514" spans="1:12" ht="13.5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</row>
    <row r="515" spans="1:12" ht="13.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</row>
    <row r="516" spans="1:12" ht="13.5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</row>
    <row r="517" spans="1:12" ht="13.5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</row>
    <row r="518" spans="1:12" ht="13.5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</row>
    <row r="519" spans="1:12" ht="13.5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</row>
    <row r="520" spans="1:12" ht="13.5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</row>
    <row r="521" spans="1:12" ht="13.5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</row>
    <row r="522" spans="1:12" ht="13.5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</row>
    <row r="523" spans="1:12" ht="13.5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</row>
    <row r="524" spans="1:12" ht="13.5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</row>
    <row r="525" spans="1:12" ht="13.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</row>
    <row r="526" spans="1:12" ht="13.5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</row>
    <row r="527" spans="1:12" ht="13.5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</row>
    <row r="528" spans="1:12" ht="13.5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</row>
    <row r="529" spans="1:12" ht="13.5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</row>
    <row r="530" spans="1:12" ht="13.5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</row>
    <row r="531" spans="1:12" ht="13.5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</row>
    <row r="532" spans="1:12" ht="13.5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</row>
    <row r="533" spans="1:12" ht="13.5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</row>
    <row r="534" spans="1:12" ht="13.5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</row>
    <row r="535" spans="1:12" ht="13.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</row>
    <row r="536" spans="1:12" ht="13.5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</row>
    <row r="537" spans="1:12" ht="13.5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</row>
    <row r="538" spans="1:12" ht="13.5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</row>
    <row r="539" spans="1:12" ht="13.5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</row>
    <row r="540" spans="1:12" ht="13.5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</row>
    <row r="541" spans="1:12" ht="13.5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</row>
    <row r="542" spans="1:12" ht="13.5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</row>
    <row r="543" spans="1:12" ht="13.5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</row>
    <row r="544" spans="1:12" ht="13.5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</row>
    <row r="545" spans="1:12" ht="13.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</row>
    <row r="546" spans="1:12" ht="13.5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</row>
    <row r="547" spans="1:12" ht="13.5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</row>
    <row r="548" spans="1:12" ht="13.5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</row>
    <row r="549" spans="1:12" ht="13.5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</row>
    <row r="550" spans="1:12" ht="13.5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</row>
    <row r="551" spans="1:12" ht="13.5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</row>
    <row r="552" spans="1:12" ht="13.5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</row>
    <row r="553" spans="1:12" ht="13.5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</row>
    <row r="554" spans="1:12" ht="13.5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</row>
    <row r="555" spans="1:12" ht="13.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</row>
    <row r="556" spans="1:12" ht="13.5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</row>
    <row r="557" spans="1:12" ht="13.5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</row>
    <row r="558" spans="1:12" ht="13.5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</row>
    <row r="559" spans="1:12" ht="13.5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</row>
    <row r="560" spans="1:12" ht="13.5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</row>
    <row r="561" spans="1:12" ht="13.5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</row>
    <row r="562" spans="1:12" ht="13.5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</row>
    <row r="563" spans="1:12" ht="13.5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</row>
    <row r="564" spans="1:12" ht="13.5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</row>
    <row r="565" spans="1:12" ht="13.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</row>
    <row r="566" spans="1:12" ht="13.5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</row>
    <row r="567" spans="1:12" ht="13.5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</row>
    <row r="568" spans="1:12" ht="13.5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</row>
    <row r="569" spans="1:12" ht="13.5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</row>
    <row r="570" spans="1:12" ht="13.5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</row>
    <row r="571" spans="1:12" ht="13.5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</row>
    <row r="572" spans="1:12" ht="13.5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</row>
    <row r="573" spans="1:12" ht="13.5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</row>
    <row r="574" spans="1:12" ht="13.5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</row>
    <row r="575" spans="1:12" ht="13.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</row>
    <row r="576" spans="1:12" ht="13.5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</row>
    <row r="577" spans="1:12" ht="13.5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</row>
    <row r="578" spans="1:12" ht="13.5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</row>
    <row r="579" spans="1:12" ht="13.5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</row>
    <row r="580" spans="1:12" ht="13.5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</row>
    <row r="581" spans="1:12" ht="13.5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</row>
    <row r="582" spans="1:12" ht="13.5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</row>
    <row r="583" spans="1:12" ht="13.5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</row>
    <row r="584" spans="1:12" ht="13.5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</row>
    <row r="585" spans="1:12" ht="13.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</row>
    <row r="586" spans="1:12" ht="13.5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</row>
    <row r="587" spans="1:12" ht="13.5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</row>
    <row r="588" spans="1:12" ht="13.5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</row>
    <row r="589" spans="1:12" ht="13.5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</row>
    <row r="590" spans="1:12" ht="13.5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</row>
    <row r="591" spans="1:12" ht="13.5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</row>
    <row r="592" spans="1:12" ht="13.5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</row>
    <row r="593" spans="1:12" ht="13.5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</row>
    <row r="594" spans="1:12" ht="13.5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</row>
    <row r="595" spans="1:12" ht="13.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</row>
    <row r="596" spans="1:12" ht="13.5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</row>
    <row r="597" spans="1:12" ht="13.5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</row>
    <row r="598" spans="1:12" ht="13.5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</row>
    <row r="599" spans="1:12" ht="13.5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</row>
    <row r="600" spans="1:12" ht="13.5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</row>
    <row r="601" spans="1:12" ht="13.5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</row>
    <row r="602" spans="1:12" ht="13.5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</row>
    <row r="603" spans="1:12" ht="13.5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</row>
    <row r="604" spans="1:12" ht="13.5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</row>
    <row r="605" spans="1:12" ht="13.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</row>
    <row r="606" spans="1:12" ht="13.5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</row>
    <row r="607" spans="1:12" ht="13.5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</row>
    <row r="608" spans="1:12" ht="13.5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</row>
    <row r="609" spans="1:12" ht="13.5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</row>
    <row r="610" spans="1:12" ht="13.5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</row>
    <row r="611" spans="1:12" ht="13.5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</row>
    <row r="612" spans="1:12" ht="13.5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</row>
    <row r="613" spans="1:12" ht="13.5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</row>
    <row r="614" spans="1:12" ht="13.5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</row>
    <row r="615" spans="1:12" ht="13.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</row>
    <row r="616" spans="1:12" ht="13.5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</row>
    <row r="617" spans="1:12" ht="13.5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</row>
    <row r="618" spans="1:12" ht="13.5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</row>
    <row r="619" spans="1:12" ht="13.5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</row>
    <row r="620" spans="1:12" ht="13.5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</row>
    <row r="621" spans="1:12" ht="13.5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</row>
    <row r="622" spans="1:12" ht="13.5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</row>
    <row r="623" spans="1:12" ht="13.5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</row>
    <row r="624" spans="1:12" ht="13.5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</row>
    <row r="625" spans="1:12" ht="13.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</row>
    <row r="626" spans="1:12" ht="13.5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</row>
    <row r="627" spans="1:12" ht="13.5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</row>
    <row r="628" spans="1:12" ht="13.5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</row>
    <row r="629" spans="1:12" ht="13.5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</row>
    <row r="630" spans="1:12" ht="13.5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</row>
    <row r="631" spans="1:12" ht="13.5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</row>
    <row r="632" spans="1:12" ht="13.5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</row>
    <row r="633" spans="1:12" ht="13.5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</row>
    <row r="634" spans="1:12" ht="13.5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</row>
    <row r="635" spans="1:12" ht="13.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</row>
    <row r="636" spans="1:12" ht="13.5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</row>
    <row r="637" spans="1:12" ht="13.5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</row>
    <row r="638" spans="1:12" ht="13.5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</row>
    <row r="639" spans="1:12" ht="13.5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</row>
    <row r="640" spans="1:12" ht="13.5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</row>
    <row r="641" spans="1:12" ht="13.5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</row>
    <row r="642" spans="1:12" ht="13.5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</row>
    <row r="643" spans="1:12" ht="13.5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</row>
    <row r="644" spans="1:12" ht="13.5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</row>
    <row r="645" spans="1:12" ht="13.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</row>
    <row r="646" spans="1:12" ht="13.5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</row>
    <row r="647" spans="1:12" ht="13.5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</row>
    <row r="648" spans="1:12" ht="13.5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</row>
    <row r="649" spans="1:12" ht="13.5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</row>
    <row r="650" spans="1:12" ht="13.5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</row>
    <row r="651" spans="1:12" ht="13.5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</row>
    <row r="652" spans="1:12" ht="13.5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</row>
    <row r="653" spans="1:12" ht="13.5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</row>
    <row r="654" spans="1:12" ht="13.5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</row>
    <row r="655" spans="1:12" ht="13.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</row>
    <row r="656" spans="1:12" ht="13.5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</row>
    <row r="657" spans="1:12" ht="13.5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</row>
    <row r="658" spans="1:12" ht="13.5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</row>
    <row r="659" spans="1:12" ht="13.5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</row>
    <row r="660" spans="1:12" ht="13.5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</row>
    <row r="661" spans="1:12" ht="13.5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</row>
    <row r="662" spans="1:12" ht="13.5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</row>
    <row r="663" spans="1:12" ht="13.5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</row>
    <row r="664" spans="1:12" ht="13.5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</row>
    <row r="665" spans="1:12" ht="13.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</row>
    <row r="666" spans="1:12" ht="13.5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</row>
    <row r="667" spans="1:12" ht="13.5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</row>
    <row r="668" spans="1:12" ht="13.5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</row>
    <row r="669" spans="1:12" ht="13.5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</row>
    <row r="670" spans="1:12" ht="13.5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</row>
    <row r="671" spans="1:12" ht="13.5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</row>
    <row r="672" spans="1:12" ht="13.5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</row>
    <row r="673" spans="1:12" ht="13.5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</row>
    <row r="674" spans="1:12" ht="13.5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</row>
    <row r="675" spans="1:12" ht="13.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</row>
    <row r="676" spans="1:12" ht="13.5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</row>
    <row r="677" spans="1:12" ht="13.5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</row>
    <row r="678" spans="1:12" ht="13.5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</row>
    <row r="679" spans="1:12" ht="13.5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</row>
    <row r="680" spans="1:12" ht="13.5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</row>
    <row r="681" spans="1:12" ht="13.5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</row>
    <row r="682" spans="1:12" ht="13.5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</row>
    <row r="683" spans="1:12" ht="13.5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</row>
    <row r="684" spans="1:12" ht="13.5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</row>
    <row r="685" spans="1:12" ht="13.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</row>
    <row r="686" spans="1:12" ht="13.5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</row>
    <row r="687" spans="1:12" ht="13.5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</row>
    <row r="688" spans="1:12" ht="13.5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</row>
    <row r="689" spans="1:12" ht="13.5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</row>
    <row r="690" spans="1:12" ht="13.5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</row>
    <row r="691" spans="1:12" ht="13.5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</row>
    <row r="692" spans="1:12" ht="13.5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</row>
    <row r="693" spans="1:12" ht="13.5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</row>
    <row r="694" spans="1:12" ht="13.5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</row>
    <row r="695" spans="1:12" ht="13.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</row>
    <row r="696" spans="1:12" ht="13.5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</row>
    <row r="697" spans="1:12" ht="13.5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</row>
    <row r="698" spans="1:12" ht="13.5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</row>
    <row r="699" spans="1:12" ht="13.5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</row>
    <row r="700" spans="1:12" ht="13.5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</row>
    <row r="701" spans="1:12" ht="13.5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</row>
    <row r="702" spans="1:12" ht="13.5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</row>
    <row r="703" spans="1:12" ht="13.5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</row>
    <row r="704" spans="1:12" ht="13.5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</row>
    <row r="705" spans="1:12" ht="13.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</row>
    <row r="706" spans="1:12" ht="13.5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</row>
    <row r="707" spans="1:12" ht="13.5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</row>
    <row r="708" spans="1:12" ht="13.5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</row>
    <row r="709" spans="1:12" ht="13.5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</row>
    <row r="710" spans="1:12" ht="13.5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</row>
    <row r="711" spans="1:12" ht="13.5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</row>
    <row r="712" spans="1:12" ht="13.5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</row>
    <row r="713" spans="1:12" ht="13.5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</row>
    <row r="714" spans="1:12" ht="13.5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</row>
    <row r="715" spans="1:12" ht="13.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</row>
    <row r="716" spans="1:12" ht="13.5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</row>
    <row r="717" spans="1:12" ht="13.5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</row>
    <row r="718" spans="1:12" ht="13.5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</row>
    <row r="719" spans="1:12" ht="13.5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</row>
    <row r="720" spans="1:12" ht="13.5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</row>
    <row r="721" spans="1:12" ht="13.5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</row>
    <row r="722" spans="1:12" ht="13.5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</row>
    <row r="723" spans="1:12" ht="13.5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</row>
    <row r="724" spans="1:12" ht="13.5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</row>
    <row r="725" spans="1:12" ht="13.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</row>
    <row r="726" spans="1:12" ht="13.5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</row>
    <row r="727" spans="1:12" ht="13.5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</row>
    <row r="728" spans="1:12" ht="13.5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</row>
    <row r="729" spans="1:12" ht="13.5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</row>
    <row r="730" spans="1:12" ht="13.5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</row>
    <row r="731" spans="1:12" ht="13.5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</row>
    <row r="732" spans="1:12" ht="13.5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</row>
    <row r="733" spans="1:12" ht="13.5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</row>
    <row r="734" spans="1:12" ht="13.5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</row>
    <row r="735" spans="1:12" ht="13.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</row>
    <row r="736" spans="1:12" ht="13.5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</row>
    <row r="737" spans="1:12" ht="13.5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</row>
    <row r="738" spans="1:12" ht="13.5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</row>
    <row r="739" spans="1:12" ht="13.5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</row>
    <row r="740" spans="1:12" ht="13.5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</row>
    <row r="741" spans="1:12" ht="13.5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</row>
    <row r="742" spans="1:12" ht="13.5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</row>
    <row r="743" spans="1:12" ht="13.5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</row>
    <row r="744" spans="1:12" ht="13.5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</row>
    <row r="745" spans="1:12" ht="13.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</row>
    <row r="746" spans="1:12" ht="13.5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</row>
    <row r="747" spans="1:12" ht="13.5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</row>
    <row r="748" spans="1:12" ht="13.5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</row>
    <row r="749" spans="1:12" ht="13.5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</row>
    <row r="750" spans="1:12" ht="13.5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</row>
    <row r="751" spans="1:12" ht="13.5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</row>
    <row r="752" spans="1:12" ht="13.5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</row>
    <row r="753" spans="1:12" ht="13.5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</row>
    <row r="754" spans="1:12" ht="13.5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</row>
    <row r="755" spans="1:12" ht="13.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</row>
    <row r="756" spans="1:12" ht="13.5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</row>
    <row r="757" spans="1:12" ht="13.5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</row>
    <row r="758" spans="1:12" ht="13.5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</row>
    <row r="759" spans="1:12" ht="13.5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</row>
    <row r="760" spans="1:12" ht="13.5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</row>
    <row r="761" spans="1:12" ht="13.5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</row>
    <row r="762" spans="1:12" ht="13.5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</row>
    <row r="763" spans="1:12" ht="13.5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</row>
    <row r="764" spans="1:12" ht="13.5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</row>
    <row r="765" spans="1:12" ht="13.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</row>
    <row r="766" spans="1:12" ht="13.5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</row>
    <row r="767" spans="1:12" ht="13.5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</row>
    <row r="768" spans="1:12" ht="13.5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</row>
    <row r="769" spans="1:12" ht="13.5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</row>
    <row r="770" spans="1:12" ht="13.5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</row>
    <row r="771" spans="1:12" ht="13.5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</row>
    <row r="772" spans="1:12" ht="13.5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</row>
    <row r="773" spans="1:12" ht="13.5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</row>
    <row r="774" spans="1:12" ht="13.5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</row>
    <row r="775" spans="1:12" ht="13.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</row>
    <row r="776" spans="1:12" ht="13.5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</row>
    <row r="777" spans="1:12" ht="13.5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</row>
    <row r="778" spans="1:12" ht="13.5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</row>
    <row r="779" spans="1:12" ht="13.5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</row>
    <row r="780" spans="1:12" ht="13.5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</row>
    <row r="781" spans="1:12" ht="13.5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</row>
    <row r="782" spans="1:12" ht="13.5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</row>
    <row r="783" spans="1:12" ht="13.5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</row>
    <row r="784" spans="1:12" ht="13.5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</row>
    <row r="785" spans="1:12" ht="13.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</row>
    <row r="786" spans="1:12" ht="13.5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</row>
    <row r="787" spans="1:12" ht="13.5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</row>
    <row r="788" spans="1:12" ht="13.5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</row>
    <row r="789" spans="1:12" ht="13.5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</row>
    <row r="790" spans="1:12" ht="13.5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</row>
    <row r="791" spans="1:12" ht="13.5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</row>
    <row r="792" spans="1:12" ht="13.5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</row>
    <row r="793" spans="1:12" ht="13.5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</row>
    <row r="794" spans="1:12" ht="13.5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</row>
    <row r="795" spans="1:12" ht="13.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</row>
    <row r="796" spans="1:12" ht="13.5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</row>
    <row r="797" spans="1:12" ht="13.5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</row>
    <row r="798" spans="1:12" ht="13.5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</row>
    <row r="799" spans="1:12" ht="13.5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</row>
    <row r="800" spans="1:12" ht="13.5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</row>
    <row r="801" spans="1:12" ht="13.5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</row>
    <row r="802" spans="1:12" ht="13.5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</row>
    <row r="803" spans="1:12" ht="13.5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</row>
    <row r="804" spans="1:12" ht="13.5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</row>
    <row r="805" spans="1:12" ht="13.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</row>
    <row r="806" spans="1:12" ht="13.5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</row>
    <row r="807" spans="1:12" ht="13.5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</row>
    <row r="808" spans="1:12" ht="13.5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</row>
    <row r="809" spans="1:12" ht="13.5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</row>
    <row r="810" spans="1:12" ht="13.5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</row>
    <row r="811" spans="1:12" ht="13.5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</row>
    <row r="812" spans="1:12" ht="13.5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</row>
    <row r="813" spans="1:12" ht="13.5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</row>
    <row r="814" spans="1:12" ht="13.5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</row>
    <row r="815" spans="1:12" ht="13.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</row>
    <row r="816" spans="1:12" ht="13.5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</row>
    <row r="817" spans="1:12" ht="13.5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</row>
    <row r="818" spans="1:12" ht="13.5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</row>
    <row r="819" spans="1:12" ht="13.5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</row>
    <row r="820" spans="1:12" ht="13.5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</row>
    <row r="821" spans="1:12" ht="13.5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</row>
    <row r="822" spans="1:12" ht="13.5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</row>
    <row r="823" spans="1:12" ht="13.5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</row>
    <row r="824" spans="1:12" ht="13.5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</row>
    <row r="825" spans="1:12" ht="13.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</row>
    <row r="826" spans="1:12" ht="13.5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</row>
    <row r="827" spans="1:12" ht="13.5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</row>
    <row r="828" spans="1:12" ht="13.5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</row>
    <row r="829" spans="1:12" ht="13.5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</row>
    <row r="830" spans="1:12" ht="13.5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</row>
    <row r="831" spans="1:12" ht="13.5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</row>
    <row r="832" spans="1:12" ht="13.5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</row>
    <row r="833" spans="1:12" ht="13.5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</row>
    <row r="834" spans="1:12" ht="13.5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</row>
    <row r="835" spans="1:12" ht="13.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</row>
    <row r="836" spans="1:12" ht="13.5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</row>
    <row r="837" spans="1:12" ht="13.5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</row>
    <row r="838" spans="1:12" ht="13.5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</row>
    <row r="839" spans="1:12" ht="13.5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</row>
    <row r="840" spans="1:12" ht="13.5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</row>
    <row r="841" spans="1:12" ht="13.5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</row>
    <row r="842" spans="1:12" ht="13.5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</row>
    <row r="843" spans="1:12" ht="13.5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</row>
    <row r="844" spans="1:12" ht="13.5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</row>
    <row r="845" spans="1:12" ht="13.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</row>
    <row r="846" spans="1:12" ht="13.5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</row>
    <row r="847" spans="1:12" ht="13.5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</row>
    <row r="848" spans="1:12" ht="13.5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</row>
    <row r="849" spans="1:12" ht="13.5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</row>
    <row r="850" spans="1:12" ht="13.5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</row>
    <row r="851" spans="1:12" ht="13.5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</row>
    <row r="852" spans="1:12" ht="13.5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</row>
    <row r="853" spans="1:12" ht="13.5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</row>
    <row r="854" spans="1:12" ht="13.5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</row>
    <row r="855" spans="1:12" ht="13.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</row>
    <row r="856" spans="1:12" ht="13.5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</row>
    <row r="857" spans="1:12" ht="13.5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</row>
    <row r="858" spans="1:12" ht="13.5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</row>
    <row r="859" spans="1:12" ht="13.5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</row>
    <row r="860" spans="1:12" ht="13.5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</row>
    <row r="861" spans="1:12" ht="13.5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</row>
    <row r="862" spans="1:12" ht="13.5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</row>
    <row r="863" spans="1:12" ht="13.5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</row>
    <row r="864" spans="1:12" ht="13.5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</row>
    <row r="865" spans="1:12" ht="13.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</row>
    <row r="866" spans="1:12" ht="13.5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</row>
    <row r="867" spans="1:12" ht="13.5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</row>
    <row r="868" spans="1:12" ht="13.5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</row>
    <row r="869" spans="1:12" ht="13.5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</row>
    <row r="870" spans="1:12" ht="13.5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</row>
    <row r="871" spans="1:12" ht="13.5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</row>
    <row r="872" spans="1:12" ht="13.5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</row>
    <row r="873" spans="1:12" ht="13.5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</row>
    <row r="874" spans="1:12" ht="13.5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</row>
    <row r="875" spans="1:12" ht="13.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</row>
    <row r="876" spans="1:12" ht="13.5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</row>
    <row r="877" spans="1:12" ht="13.5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</row>
    <row r="878" spans="1:12" ht="13.5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</row>
    <row r="879" spans="1:12" ht="13.5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</row>
    <row r="880" spans="1:12" ht="13.5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</row>
    <row r="881" spans="1:12" ht="13.5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</row>
    <row r="882" spans="1:12" ht="13.5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</row>
    <row r="883" spans="1:12" ht="13.5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</row>
    <row r="884" spans="1:12" ht="13.5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</row>
    <row r="885" spans="1:12" ht="13.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</row>
    <row r="886" spans="1:12" ht="13.5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</row>
    <row r="887" spans="1:12" ht="13.5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</row>
    <row r="888" spans="1:12" ht="13.5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</row>
    <row r="889" spans="1:12" ht="13.5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</row>
    <row r="890" spans="1:12" ht="13.5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</row>
    <row r="891" spans="1:12" ht="13.5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</row>
    <row r="892" spans="1:12" ht="13.5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</row>
    <row r="893" spans="1:12" ht="13.5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</row>
    <row r="894" spans="1:12" ht="13.5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</row>
    <row r="895" spans="1:12" ht="13.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</row>
    <row r="896" spans="1:12" ht="13.5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</row>
    <row r="897" spans="1:12" ht="13.5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</row>
    <row r="898" spans="1:12" ht="13.5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</row>
    <row r="899" spans="1:12" ht="13.5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</row>
    <row r="900" spans="1:12" ht="13.5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</row>
    <row r="901" spans="1:12" ht="13.5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</row>
    <row r="902" spans="1:12" ht="13.5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</row>
    <row r="903" spans="1:12" ht="13.5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</row>
    <row r="904" spans="1:12" ht="13.5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</row>
    <row r="905" spans="1:12" ht="13.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</row>
    <row r="906" spans="1:12" ht="13.5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</row>
    <row r="907" spans="1:12" ht="13.5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</row>
    <row r="908" spans="1:12" ht="13.5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</row>
    <row r="909" spans="1:12" ht="13.5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</row>
    <row r="910" spans="1:12" ht="13.5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</row>
    <row r="911" spans="1:12" ht="13.5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</row>
    <row r="912" spans="1:12" ht="13.5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</row>
    <row r="913" spans="1:12" ht="13.5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</row>
    <row r="914" spans="1:12" ht="13.5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</row>
    <row r="915" spans="1:12" ht="13.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</row>
    <row r="916" spans="1:12" ht="13.5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</row>
    <row r="917" spans="1:12" ht="13.5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</row>
    <row r="918" spans="1:12" ht="13.5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</row>
    <row r="919" spans="1:12" ht="13.5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</row>
    <row r="920" spans="1:12" ht="13.5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</row>
    <row r="921" spans="1:12" ht="13.5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</row>
    <row r="922" spans="1:12" ht="13.5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</row>
    <row r="923" spans="1:12" ht="13.5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</row>
    <row r="924" spans="1:12" ht="13.5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</row>
    <row r="925" spans="1:12" ht="13.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</row>
    <row r="926" spans="1:12" ht="13.5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</row>
    <row r="927" spans="1:12" ht="13.5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</row>
    <row r="928" spans="1:12" ht="13.5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</row>
    <row r="929" spans="1:12" ht="13.5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</row>
    <row r="930" spans="1:12" ht="13.5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</row>
    <row r="931" spans="1:12" ht="13.5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</row>
    <row r="932" spans="1:12" ht="13.5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</row>
    <row r="933" spans="1:12" ht="13.5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</row>
    <row r="934" spans="1:12" ht="13.5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</row>
    <row r="935" spans="1:12" ht="13.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</row>
    <row r="936" spans="1:12" ht="13.5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</row>
    <row r="937" spans="1:12" ht="13.5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</row>
    <row r="938" spans="1:12" ht="13.5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</row>
    <row r="939" spans="1:12" ht="13.5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</row>
    <row r="940" spans="1:12" ht="13.5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</row>
    <row r="941" spans="1:12" ht="13.5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</row>
    <row r="942" spans="1:12" ht="13.5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</row>
    <row r="943" spans="1:12" ht="13.5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</row>
    <row r="944" spans="1:12" ht="13.5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</row>
    <row r="945" spans="1:12" ht="13.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</row>
    <row r="946" spans="1:12" ht="13.5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</row>
    <row r="947" spans="1:12" ht="13.5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</row>
    <row r="948" spans="1:12" ht="13.5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</row>
    <row r="949" spans="1:12" ht="13.5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</row>
    <row r="950" spans="1:12" ht="13.5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</row>
    <row r="951" spans="1:12" ht="13.5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</row>
    <row r="952" spans="1:12" ht="13.5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</row>
    <row r="953" spans="1:12" ht="13.5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</row>
    <row r="954" spans="1:12" ht="13.5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</row>
    <row r="955" spans="1:12" ht="13.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</row>
    <row r="956" spans="1:12" ht="13.5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</row>
    <row r="957" spans="1:12" ht="13.5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</row>
    <row r="958" spans="1:12" ht="13.5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</row>
    <row r="959" spans="1:12" ht="13.5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</row>
    <row r="960" spans="1:12" ht="13.5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</row>
    <row r="961" spans="1:12" ht="13.5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</row>
    <row r="962" spans="1:12" ht="13.5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</row>
    <row r="963" spans="1:12" ht="13.5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</row>
    <row r="964" spans="1:12" ht="13.5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</row>
    <row r="965" spans="1:12" ht="13.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</row>
    <row r="966" spans="1:12" ht="13.5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</row>
    <row r="967" spans="1:12" ht="13.5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</row>
    <row r="968" spans="1:12" ht="13.5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</row>
    <row r="969" spans="1:12" ht="13.5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</row>
    <row r="970" spans="1:12" ht="13.5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</row>
    <row r="971" spans="1:12" ht="13.5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</row>
    <row r="972" spans="1:12" ht="13.5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</row>
    <row r="973" spans="1:12" ht="13.5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</row>
    <row r="974" spans="1:12" ht="13.5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</row>
    <row r="975" spans="1:12" ht="13.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</row>
    <row r="976" spans="1:12" ht="13.5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</row>
    <row r="977" spans="1:12" ht="13.5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</row>
    <row r="978" spans="1:12" ht="13.5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</row>
    <row r="979" spans="1:12" ht="13.5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</row>
    <row r="980" spans="1:12" ht="13.5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</row>
    <row r="981" spans="1:12" ht="13.5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</row>
    <row r="982" spans="1:12" ht="13.5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</row>
    <row r="983" spans="1:12" ht="13.5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</row>
    <row r="984" spans="1:12" ht="13.5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</row>
  </sheetData>
  <mergeCells count="92">
    <mergeCell ref="H30:I30"/>
    <mergeCell ref="J32:K32"/>
    <mergeCell ref="J33:K33"/>
    <mergeCell ref="J22:K22"/>
    <mergeCell ref="H22:I22"/>
    <mergeCell ref="H23:I23"/>
    <mergeCell ref="H24:I24"/>
    <mergeCell ref="H25:I25"/>
    <mergeCell ref="A38:E38"/>
    <mergeCell ref="A39:E39"/>
    <mergeCell ref="D33:E33"/>
    <mergeCell ref="J39:K39"/>
    <mergeCell ref="J23:K23"/>
    <mergeCell ref="J24:K24"/>
    <mergeCell ref="J25:K25"/>
    <mergeCell ref="J26:K26"/>
    <mergeCell ref="J30:K30"/>
    <mergeCell ref="J31:K31"/>
    <mergeCell ref="J34:K34"/>
    <mergeCell ref="J35:K35"/>
    <mergeCell ref="J36:K36"/>
    <mergeCell ref="J37:K37"/>
    <mergeCell ref="J38:K38"/>
    <mergeCell ref="H26:I26"/>
    <mergeCell ref="H34:I34"/>
    <mergeCell ref="G35:H35"/>
    <mergeCell ref="G36:H36"/>
    <mergeCell ref="F37:I37"/>
    <mergeCell ref="A35:E35"/>
    <mergeCell ref="A36:E36"/>
    <mergeCell ref="A37:E37"/>
    <mergeCell ref="A24:A25"/>
    <mergeCell ref="D22:E22"/>
    <mergeCell ref="D24:E24"/>
    <mergeCell ref="D25:E25"/>
    <mergeCell ref="B18:E18"/>
    <mergeCell ref="B19:E19"/>
    <mergeCell ref="A11:A15"/>
    <mergeCell ref="B11:E15"/>
    <mergeCell ref="F11:F15"/>
    <mergeCell ref="A17:E17"/>
    <mergeCell ref="F17:G17"/>
    <mergeCell ref="J10:L10"/>
    <mergeCell ref="B8:C8"/>
    <mergeCell ref="H8:L8"/>
    <mergeCell ref="B10:E10"/>
    <mergeCell ref="G10:H10"/>
    <mergeCell ref="D1:I2"/>
    <mergeCell ref="B4:C4"/>
    <mergeCell ref="F4:F8"/>
    <mergeCell ref="H4:I4"/>
    <mergeCell ref="K4:L4"/>
    <mergeCell ref="A5:B5"/>
    <mergeCell ref="A7:A8"/>
    <mergeCell ref="A6:C6"/>
    <mergeCell ref="B7:D7"/>
    <mergeCell ref="H5:L5"/>
    <mergeCell ref="H6:L6"/>
    <mergeCell ref="H7:I7"/>
    <mergeCell ref="K7:L7"/>
    <mergeCell ref="J17:K17"/>
    <mergeCell ref="A18:A19"/>
    <mergeCell ref="H18:I18"/>
    <mergeCell ref="J18:K18"/>
    <mergeCell ref="D23:E23"/>
    <mergeCell ref="A20:A21"/>
    <mergeCell ref="D20:E20"/>
    <mergeCell ref="D21:E21"/>
    <mergeCell ref="A22:A23"/>
    <mergeCell ref="H19:I19"/>
    <mergeCell ref="J19:K19"/>
    <mergeCell ref="H20:I20"/>
    <mergeCell ref="J20:K20"/>
    <mergeCell ref="H21:I21"/>
    <mergeCell ref="J21:K21"/>
    <mergeCell ref="H17:I17"/>
    <mergeCell ref="A40:L40"/>
    <mergeCell ref="H27:I27"/>
    <mergeCell ref="J27:K27"/>
    <mergeCell ref="H28:I28"/>
    <mergeCell ref="J28:K28"/>
    <mergeCell ref="A34:E34"/>
    <mergeCell ref="A26:A30"/>
    <mergeCell ref="D26:E26"/>
    <mergeCell ref="D30:E30"/>
    <mergeCell ref="A31:E31"/>
    <mergeCell ref="D32:E32"/>
    <mergeCell ref="H38:I38"/>
    <mergeCell ref="H39:I39"/>
    <mergeCell ref="H31:I31"/>
    <mergeCell ref="F32:I32"/>
    <mergeCell ref="F33:I33"/>
  </mergeCells>
  <phoneticPr fontId="14" type="noConversion"/>
  <printOptions horizontalCentered="1" gridLines="1"/>
  <pageMargins left="0.7" right="0.7" top="0.75" bottom="0.75" header="0" footer="0"/>
  <pageSetup paperSize="9" fitToWidth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2026-07-28T02:48:47Z</dcterms:created>
  <dcterms:modified xsi:type="dcterms:W3CDTF">2026-07-28T06:25:48Z</dcterms:modified>
</cp:coreProperties>
</file>