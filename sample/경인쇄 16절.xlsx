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368B6BDD-475B-4F00-8FD4-542E94C8E2AC}" xr6:coauthVersionLast="41" xr6:coauthVersionMax="41" xr10:uidLastSave="{00000000-0000-0000-0000-000000000000}"/>
  <bookViews>
    <workbookView xWindow="22932" yWindow="-108" windowWidth="23256" windowHeight="12456" xr2:uid="{00000000-000D-0000-FFFF-FFFF00000000}"/>
  </bookViews>
  <sheets>
    <sheet name="16절" sheetId="3" r:id="rId1"/>
  </sheets>
  <calcPr calcId="191029"/>
</workbook>
</file>

<file path=xl/calcChain.xml><?xml version="1.0" encoding="utf-8"?>
<calcChain xmlns="http://schemas.openxmlformats.org/spreadsheetml/2006/main">
  <c r="B7" i="3" l="1"/>
  <c r="I18" i="3" l="1"/>
  <c r="D18" i="3"/>
  <c r="G17" i="3"/>
  <c r="F17" i="3"/>
  <c r="I17" i="3" s="1"/>
  <c r="E16" i="3"/>
  <c r="I16" i="3" s="1"/>
  <c r="I28" i="3" s="1"/>
  <c r="I29" i="3" s="1"/>
  <c r="B12" i="3"/>
  <c r="I30" i="3" l="1"/>
  <c r="I31" i="3" s="1"/>
  <c r="I32" i="3" l="1"/>
  <c r="I33" i="3" s="1"/>
  <c r="J12" i="3" s="1"/>
  <c r="B8" i="3" s="1"/>
</calcChain>
</file>

<file path=xl/sharedStrings.xml><?xml version="1.0" encoding="utf-8"?>
<sst xmlns="http://schemas.openxmlformats.org/spreadsheetml/2006/main" count="47" uniqueCount="47">
  <si>
    <t>견적일 :</t>
  </si>
  <si>
    <t>206-82-12755</t>
  </si>
  <si>
    <t>대표자</t>
  </si>
  <si>
    <t>신 창 식</t>
  </si>
  <si>
    <t>한국조세재정연구원</t>
  </si>
  <si>
    <t>귀하</t>
  </si>
  <si>
    <t>사단법인 아름다운사람들</t>
  </si>
  <si>
    <t>연락처</t>
  </si>
  <si>
    <t>아래와 같이 견적합니다.</t>
  </si>
  <si>
    <t>서울 성동구 뚝섬로1길 25, 한라에코벨리 702호</t>
  </si>
  <si>
    <t xml:space="preserve">합계 : </t>
  </si>
  <si>
    <t>제조/서비스</t>
  </si>
  <si>
    <t>종목</t>
  </si>
  <si>
    <t>인쇄/디자인</t>
  </si>
  <si>
    <t>16절</t>
  </si>
  <si>
    <t>TEL. 02-6948-9650 / FAX. 02-6948-9649</t>
  </si>
  <si>
    <t>제목</t>
  </si>
  <si>
    <t>수탁-MDR의 국제적 현황 분석과 도입 방안에 관한 연구</t>
  </si>
  <si>
    <t>규격</t>
  </si>
  <si>
    <t>면수</t>
  </si>
  <si>
    <t>발주자</t>
  </si>
  <si>
    <t>수량</t>
  </si>
  <si>
    <t>금액</t>
  </si>
  <si>
    <t>구분</t>
  </si>
  <si>
    <t>항  목</t>
  </si>
  <si>
    <t>산출 내역</t>
  </si>
  <si>
    <t>금 액</t>
  </si>
  <si>
    <t>비 고</t>
  </si>
  <si>
    <t>편집/인쇄</t>
  </si>
  <si>
    <t>표지(4도,무광코팅)</t>
  </si>
  <si>
    <t xml:space="preserve"> * 80 %</t>
  </si>
  <si>
    <t>스노우250g</t>
  </si>
  <si>
    <t>내지(1도, 흑백)</t>
  </si>
  <si>
    <t>미색모조80g</t>
  </si>
  <si>
    <t>디지털마스타비</t>
  </si>
  <si>
    <t>소   계</t>
  </si>
  <si>
    <t>요율적용</t>
  </si>
  <si>
    <t>절사액</t>
  </si>
  <si>
    <t>공급가액</t>
  </si>
  <si>
    <t>부가세</t>
  </si>
  <si>
    <t>총  계</t>
  </si>
  <si>
    <t>공
급
자</t>
    <phoneticPr fontId="15" type="noConversion"/>
  </si>
  <si>
    <t>사업자
번    호</t>
    <phoneticPr fontId="15" type="noConversion"/>
  </si>
  <si>
    <t>상     호</t>
    <phoneticPr fontId="15" type="noConversion"/>
  </si>
  <si>
    <t>주     소</t>
    <phoneticPr fontId="15" type="noConversion"/>
  </si>
  <si>
    <t>업     태</t>
    <phoneticPr fontId="15" type="noConversion"/>
  </si>
  <si>
    <t xml:space="preserve">   견   적   서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</si>
</sst>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yyyy\.\ mm\.\ dd"/>
    <numFmt numFmtId="177" formatCode="yyyy\.\ m\.\ d"/>
    <numFmt numFmtId="178" formatCode="[$₩-412]#,##0"/>
    <numFmt numFmtId="179" formatCode="#,##0\ &quot; P&quot;"/>
    <numFmt numFmtId="180" formatCode="#,##0&quot; 부&quot;"/>
    <numFmt numFmtId="181" formatCode="&quot;* {&quot;\ #,##0"/>
    <numFmt numFmtId="182" formatCode="&quot;+(&quot;#,##0&quot;/10 × 183)}&quot;"/>
    <numFmt numFmtId="183" formatCode="&quot; × &quot;\ #,##0"/>
    <numFmt numFmtId="184" formatCode="&quot;* {(8,180-&quot;#,##0&quot;)+&quot;"/>
    <numFmt numFmtId="185" formatCode="&quot;(&quot;#,##0&quot;/10×101)}&quot;"/>
    <numFmt numFmtId="186" formatCode="&quot;×&quot;\ #,##0&quot;P&quot;"/>
    <numFmt numFmtId="187" formatCode="&quot;×&quot;\ #,##0&quot;%&quot;"/>
    <numFmt numFmtId="188" formatCode="&quot;(&quot;#,##0&quot;/10 × 101)}&quot;"/>
    <numFmt numFmtId="189" formatCode="&quot; × &quot;\ #,##0&quot; P&quot;"/>
    <numFmt numFmtId="190" formatCode="\▽\ #,##0"/>
    <numFmt numFmtId="191" formatCode="&quot;* 3,000 x &quot;\ #,##0\P\ "/>
    <numFmt numFmtId="192" formatCode="\△#,##0"/>
  </numFmts>
  <fonts count="16">
    <font>
      <sz val="10"/>
      <color rgb="FF000000"/>
      <name val="Arial"/>
    </font>
    <font>
      <sz val="10"/>
      <name val="Arial"/>
    </font>
    <font>
      <sz val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1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0" fontId="3" fillId="0" borderId="3" xfId="0" applyFont="1" applyBorder="1" applyAlignment="1"/>
    <xf numFmtId="0" fontId="4" fillId="0" borderId="3" xfId="0" applyFont="1" applyBorder="1" applyAlignment="1"/>
    <xf numFmtId="0" fontId="2" fillId="0" borderId="3" xfId="0" applyFont="1" applyBorder="1"/>
    <xf numFmtId="0" fontId="2" fillId="0" borderId="0" xfId="0" applyFont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9" fillId="2" borderId="17" xfId="0" applyFont="1" applyFill="1" applyBorder="1" applyAlignment="1">
      <alignment horizontal="left" vertical="center"/>
    </xf>
    <xf numFmtId="177" fontId="3" fillId="0" borderId="21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0" fontId="11" fillId="2" borderId="4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9" fillId="5" borderId="6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center"/>
    </xf>
    <xf numFmtId="0" fontId="1" fillId="0" borderId="65" xfId="0" applyFont="1" applyBorder="1"/>
    <xf numFmtId="181" fontId="3" fillId="2" borderId="66" xfId="0" applyNumberFormat="1" applyFont="1" applyFill="1" applyBorder="1" applyAlignment="1">
      <alignment horizontal="left" vertical="center"/>
    </xf>
    <xf numFmtId="183" fontId="3" fillId="2" borderId="17" xfId="0" applyNumberFormat="1" applyFont="1" applyFill="1" applyBorder="1" applyAlignment="1">
      <alignment horizontal="left" vertical="center"/>
    </xf>
    <xf numFmtId="0" fontId="3" fillId="2" borderId="65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1" fillId="0" borderId="67" xfId="0" applyFont="1" applyBorder="1"/>
    <xf numFmtId="185" fontId="3" fillId="2" borderId="19" xfId="0" applyNumberFormat="1" applyFont="1" applyFill="1" applyBorder="1" applyAlignment="1">
      <alignment vertical="center"/>
    </xf>
    <xf numFmtId="186" fontId="3" fillId="2" borderId="19" xfId="0" applyNumberFormat="1" applyFont="1" applyFill="1" applyBorder="1" applyAlignment="1">
      <alignment vertical="center"/>
    </xf>
    <xf numFmtId="187" fontId="3" fillId="2" borderId="65" xfId="0" applyNumberFormat="1" applyFont="1" applyFill="1" applyBorder="1" applyAlignment="1">
      <alignment vertical="center"/>
    </xf>
    <xf numFmtId="189" fontId="3" fillId="2" borderId="65" xfId="0" applyNumberFormat="1" applyFont="1" applyFill="1" applyBorder="1" applyAlignment="1">
      <alignment horizontal="left" vertical="center"/>
    </xf>
    <xf numFmtId="0" fontId="3" fillId="2" borderId="68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192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23" xfId="0" applyFont="1" applyFill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9" fillId="2" borderId="1" xfId="0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2" xfId="0" applyFont="1" applyBorder="1"/>
    <xf numFmtId="3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" fillId="0" borderId="35" xfId="0" applyFont="1" applyBorder="1"/>
    <xf numFmtId="0" fontId="9" fillId="2" borderId="72" xfId="0" applyFont="1" applyFill="1" applyBorder="1" applyAlignment="1">
      <alignment horizontal="center" vertical="center"/>
    </xf>
    <xf numFmtId="0" fontId="1" fillId="0" borderId="42" xfId="0" applyFont="1" applyBorder="1"/>
    <xf numFmtId="0" fontId="1" fillId="0" borderId="40" xfId="0" applyFont="1" applyBorder="1"/>
    <xf numFmtId="0" fontId="9" fillId="2" borderId="41" xfId="0" applyFont="1" applyFill="1" applyBorder="1" applyAlignment="1">
      <alignment horizontal="center" vertical="center"/>
    </xf>
    <xf numFmtId="3" fontId="12" fillId="2" borderId="41" xfId="0" applyNumberFormat="1" applyFont="1" applyFill="1" applyBorder="1" applyAlignment="1">
      <alignment vertical="center"/>
    </xf>
    <xf numFmtId="0" fontId="3" fillId="2" borderId="41" xfId="0" applyFont="1" applyFill="1" applyBorder="1" applyAlignment="1">
      <alignment horizontal="center" vertical="center"/>
    </xf>
    <xf numFmtId="0" fontId="1" fillId="0" borderId="43" xfId="0" applyFont="1" applyBorder="1"/>
    <xf numFmtId="0" fontId="12" fillId="2" borderId="69" xfId="0" applyFont="1" applyFill="1" applyBorder="1" applyAlignment="1">
      <alignment horizontal="center" vertical="center"/>
    </xf>
    <xf numFmtId="0" fontId="14" fillId="2" borderId="69" xfId="0" applyFont="1" applyFill="1" applyBorder="1" applyAlignment="1">
      <alignment horizontal="center" vertical="center"/>
    </xf>
    <xf numFmtId="9" fontId="14" fillId="2" borderId="1" xfId="0" applyNumberFormat="1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1" fillId="0" borderId="30" xfId="0" applyFont="1" applyBorder="1"/>
    <xf numFmtId="0" fontId="1" fillId="0" borderId="23" xfId="0" applyFont="1" applyBorder="1"/>
    <xf numFmtId="191" fontId="3" fillId="2" borderId="26" xfId="0" applyNumberFormat="1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" fillId="0" borderId="51" xfId="0" applyFont="1" applyBorder="1"/>
    <xf numFmtId="3" fontId="12" fillId="2" borderId="1" xfId="0" applyNumberFormat="1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right" vertical="center"/>
    </xf>
    <xf numFmtId="190" fontId="3" fillId="2" borderId="14" xfId="0" applyNumberFormat="1" applyFont="1" applyFill="1" applyBorder="1" applyAlignment="1">
      <alignment horizontal="right" vertical="center"/>
    </xf>
    <xf numFmtId="3" fontId="12" fillId="2" borderId="26" xfId="0" applyNumberFormat="1" applyFont="1" applyFill="1" applyBorder="1" applyAlignment="1">
      <alignment vertical="center"/>
    </xf>
    <xf numFmtId="192" fontId="11" fillId="2" borderId="26" xfId="0" applyNumberFormat="1" applyFont="1" applyFill="1" applyBorder="1" applyAlignment="1">
      <alignment horizontal="center" vertical="center"/>
    </xf>
    <xf numFmtId="0" fontId="1" fillId="0" borderId="31" xfId="0" applyFont="1" applyBorder="1"/>
    <xf numFmtId="3" fontId="3" fillId="2" borderId="25" xfId="0" applyNumberFormat="1" applyFont="1" applyFill="1" applyBorder="1" applyAlignment="1">
      <alignment horizontal="right" vertical="center"/>
    </xf>
    <xf numFmtId="0" fontId="1" fillId="0" borderId="27" xfId="0" applyFont="1" applyBorder="1"/>
    <xf numFmtId="182" fontId="3" fillId="2" borderId="19" xfId="0" applyNumberFormat="1" applyFont="1" applyFill="1" applyBorder="1" applyAlignment="1">
      <alignment horizontal="center" vertical="center"/>
    </xf>
    <xf numFmtId="0" fontId="1" fillId="0" borderId="20" xfId="0" applyFont="1" applyBorder="1"/>
    <xf numFmtId="184" fontId="3" fillId="2" borderId="24" xfId="0" applyNumberFormat="1" applyFont="1" applyFill="1" applyBorder="1" applyAlignment="1">
      <alignment vertical="center"/>
    </xf>
    <xf numFmtId="0" fontId="9" fillId="5" borderId="61" xfId="0" applyFont="1" applyFill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0" fontId="9" fillId="5" borderId="63" xfId="0" applyFont="1" applyFill="1" applyBorder="1" applyAlignment="1">
      <alignment horizontal="center" vertical="center"/>
    </xf>
    <xf numFmtId="0" fontId="1" fillId="0" borderId="64" xfId="0" applyFont="1" applyBorder="1"/>
    <xf numFmtId="0" fontId="3" fillId="2" borderId="52" xfId="0" applyFont="1" applyFill="1" applyBorder="1" applyAlignment="1">
      <alignment horizontal="center" vertical="center"/>
    </xf>
    <xf numFmtId="0" fontId="1" fillId="0" borderId="52" xfId="0" applyFont="1" applyBorder="1"/>
    <xf numFmtId="0" fontId="1" fillId="0" borderId="50" xfId="0" applyFont="1" applyBorder="1"/>
    <xf numFmtId="0" fontId="3" fillId="2" borderId="25" xfId="0" applyFont="1" applyFill="1" applyBorder="1" applyAlignment="1">
      <alignment horizontal="center" vertical="center"/>
    </xf>
    <xf numFmtId="188" fontId="3" fillId="2" borderId="19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" fillId="0" borderId="53" xfId="0" applyFont="1" applyBorder="1"/>
    <xf numFmtId="0" fontId="13" fillId="2" borderId="1" xfId="0" applyFont="1" applyFill="1" applyBorder="1" applyAlignment="1">
      <alignment vertical="center"/>
    </xf>
    <xf numFmtId="184" fontId="3" fillId="2" borderId="24" xfId="0" applyNumberFormat="1" applyFont="1" applyFill="1" applyBorder="1" applyAlignment="1">
      <alignment horizontal="left" vertical="center"/>
    </xf>
    <xf numFmtId="0" fontId="3" fillId="0" borderId="45" xfId="0" applyFont="1" applyBorder="1" applyAlignment="1">
      <alignment horizontal="center" vertical="center" wrapText="1"/>
    </xf>
    <xf numFmtId="0" fontId="1" fillId="0" borderId="46" xfId="0" applyFont="1" applyBorder="1"/>
    <xf numFmtId="0" fontId="1" fillId="0" borderId="47" xfId="0" applyFont="1" applyBorder="1"/>
    <xf numFmtId="0" fontId="1" fillId="0" borderId="24" xfId="0" applyFont="1" applyBorder="1"/>
    <xf numFmtId="0" fontId="1" fillId="0" borderId="25" xfId="0" applyFont="1" applyBorder="1"/>
    <xf numFmtId="0" fontId="9" fillId="5" borderId="48" xfId="0" applyFont="1" applyFill="1" applyBorder="1" applyAlignment="1">
      <alignment horizontal="center" vertical="center"/>
    </xf>
    <xf numFmtId="0" fontId="1" fillId="0" borderId="18" xfId="0" applyFont="1" applyBorder="1"/>
    <xf numFmtId="0" fontId="11" fillId="0" borderId="45" xfId="0" applyFont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179" fontId="11" fillId="0" borderId="45" xfId="0" applyNumberFormat="1" applyFont="1" applyBorder="1" applyAlignment="1">
      <alignment horizontal="center" vertical="center"/>
    </xf>
    <xf numFmtId="0" fontId="1" fillId="0" borderId="49" xfId="0" applyFont="1" applyBorder="1"/>
    <xf numFmtId="0" fontId="9" fillId="5" borderId="4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9" fillId="5" borderId="10" xfId="0" applyFont="1" applyFill="1" applyBorder="1" applyAlignment="1">
      <alignment horizontal="center" vertical="center"/>
    </xf>
    <xf numFmtId="0" fontId="1" fillId="0" borderId="58" xfId="0" applyFont="1" applyBorder="1"/>
    <xf numFmtId="180" fontId="3" fillId="0" borderId="14" xfId="0" applyNumberFormat="1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178" fontId="12" fillId="2" borderId="14" xfId="0" applyNumberFormat="1" applyFont="1" applyFill="1" applyBorder="1" applyAlignment="1">
      <alignment horizontal="center" vertical="center"/>
    </xf>
    <xf numFmtId="0" fontId="1" fillId="0" borderId="59" xfId="0" applyFont="1" applyBorder="1"/>
    <xf numFmtId="0" fontId="11" fillId="2" borderId="1" xfId="0" applyFont="1" applyFill="1" applyBorder="1" applyAlignment="1">
      <alignment horizontal="center" vertical="center"/>
    </xf>
    <xf numFmtId="0" fontId="1" fillId="2" borderId="32" xfId="0" applyFont="1" applyFill="1" applyBorder="1"/>
    <xf numFmtId="0" fontId="1" fillId="4" borderId="3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178" fontId="9" fillId="2" borderId="19" xfId="0" applyNumberFormat="1" applyFont="1" applyFill="1" applyBorder="1" applyAlignment="1">
      <alignment horizontal="left" vertical="top"/>
    </xf>
    <xf numFmtId="0" fontId="1" fillId="4" borderId="42" xfId="0" applyFont="1" applyFill="1" applyBorder="1"/>
    <xf numFmtId="0" fontId="5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6" fontId="3" fillId="2" borderId="19" xfId="0" applyNumberFormat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0" fontId="1" fillId="2" borderId="34" xfId="0" applyFont="1" applyFill="1" applyBorder="1"/>
    <xf numFmtId="0" fontId="1" fillId="4" borderId="34" xfId="0" applyFont="1" applyFill="1" applyBorder="1"/>
    <xf numFmtId="0" fontId="1" fillId="4" borderId="39" xfId="0" applyFont="1" applyFill="1" applyBorder="1"/>
    <xf numFmtId="0" fontId="11" fillId="2" borderId="26" xfId="0" applyFont="1" applyFill="1" applyBorder="1" applyAlignment="1">
      <alignment horizontal="center" vertical="center"/>
    </xf>
    <xf numFmtId="0" fontId="1" fillId="3" borderId="23" xfId="0" applyFont="1" applyFill="1" applyBorder="1"/>
    <xf numFmtId="0" fontId="11" fillId="2" borderId="26" xfId="0" applyFont="1" applyFill="1" applyBorder="1" applyAlignment="1">
      <alignment horizontal="left" vertical="center"/>
    </xf>
    <xf numFmtId="0" fontId="1" fillId="3" borderId="30" xfId="0" applyFont="1" applyFill="1" applyBorder="1"/>
    <xf numFmtId="0" fontId="9" fillId="2" borderId="1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" fillId="0" borderId="17" xfId="0" applyFont="1" applyBorder="1"/>
    <xf numFmtId="0" fontId="3" fillId="2" borderId="19" xfId="0" applyFont="1" applyFill="1" applyBorder="1" applyAlignment="1">
      <alignment horizontal="left" vertical="center"/>
    </xf>
    <xf numFmtId="0" fontId="9" fillId="2" borderId="36" xfId="0" applyFont="1" applyFill="1" applyBorder="1" applyAlignment="1">
      <alignment horizontal="left"/>
    </xf>
    <xf numFmtId="0" fontId="1" fillId="0" borderId="37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283845</xdr:colOff>
      <xdr:row>2</xdr:row>
      <xdr:rowOff>66675</xdr:rowOff>
    </xdr:from>
    <xdr:ext cx="723900" cy="733425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72225" y="676275"/>
          <a:ext cx="723900" cy="7334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M985"/>
  <sheetViews>
    <sheetView tabSelected="1" workbookViewId="0">
      <selection activeCell="B8" sqref="B8:C8"/>
    </sheetView>
  </sheetViews>
  <sheetFormatPr defaultColWidth="12.5703125" defaultRowHeight="15.75" customHeight="1"/>
  <cols>
    <col min="1" max="1" width="9.5703125" customWidth="1"/>
    <col min="2" max="2" width="9.42578125" customWidth="1"/>
    <col min="3" max="3" width="16.7109375" customWidth="1"/>
    <col min="4" max="4" width="10.85546875" customWidth="1"/>
    <col min="5" max="5" width="7.140625" customWidth="1"/>
    <col min="6" max="6" width="12.42578125" customWidth="1"/>
    <col min="7" max="7" width="8.42578125" customWidth="1"/>
    <col min="8" max="8" width="7.42578125" customWidth="1"/>
    <col min="9" max="9" width="7.140625" customWidth="1"/>
    <col min="10" max="10" width="6.42578125" customWidth="1"/>
    <col min="11" max="11" width="8.85546875" customWidth="1"/>
    <col min="12" max="12" width="6.5703125" customWidth="1"/>
    <col min="13" max="13" width="3.140625" customWidth="1"/>
  </cols>
  <sheetData>
    <row r="1" spans="1:13" ht="27" customHeight="1">
      <c r="A1" s="1"/>
      <c r="B1" s="2"/>
      <c r="C1" s="2"/>
      <c r="D1" s="135" t="s">
        <v>46</v>
      </c>
      <c r="E1" s="136"/>
      <c r="F1" s="136"/>
      <c r="G1" s="136"/>
      <c r="H1" s="137"/>
      <c r="I1" s="2"/>
      <c r="J1" s="2"/>
      <c r="K1" s="2"/>
      <c r="L1" s="3"/>
      <c r="M1" s="4"/>
    </row>
    <row r="2" spans="1:13" ht="21" customHeight="1">
      <c r="A2" s="5"/>
      <c r="B2" s="6"/>
      <c r="C2" s="6"/>
      <c r="D2" s="138"/>
      <c r="E2" s="139"/>
      <c r="F2" s="139"/>
      <c r="G2" s="139"/>
      <c r="H2" s="140"/>
      <c r="I2" s="6"/>
      <c r="J2" s="6"/>
      <c r="K2" s="6"/>
      <c r="L2" s="3"/>
      <c r="M2" s="4"/>
    </row>
    <row r="3" spans="1:13" ht="21.75" customHeight="1">
      <c r="A3" s="7"/>
      <c r="B3" s="8"/>
      <c r="C3" s="8"/>
      <c r="D3" s="8"/>
      <c r="E3" s="9"/>
      <c r="F3" s="9"/>
      <c r="G3" s="9"/>
      <c r="H3" s="10"/>
      <c r="I3" s="10"/>
      <c r="J3" s="10"/>
      <c r="K3" s="10"/>
      <c r="L3" s="11"/>
      <c r="M3" s="4"/>
    </row>
    <row r="4" spans="1:13" ht="30" customHeight="1">
      <c r="A4" s="12" t="s">
        <v>0</v>
      </c>
      <c r="B4" s="141">
        <v>46190</v>
      </c>
      <c r="C4" s="88"/>
      <c r="D4" s="13"/>
      <c r="E4" s="142" t="s">
        <v>41</v>
      </c>
      <c r="F4" s="51" t="s">
        <v>42</v>
      </c>
      <c r="G4" s="146" t="s">
        <v>1</v>
      </c>
      <c r="H4" s="147"/>
      <c r="I4" s="14" t="s">
        <v>2</v>
      </c>
      <c r="J4" s="148" t="s">
        <v>3</v>
      </c>
      <c r="K4" s="149"/>
      <c r="L4" s="84"/>
      <c r="M4" s="15"/>
    </row>
    <row r="5" spans="1:13" ht="30" customHeight="1">
      <c r="A5" s="150" t="s">
        <v>4</v>
      </c>
      <c r="B5" s="88"/>
      <c r="C5" s="16" t="s">
        <v>5</v>
      </c>
      <c r="D5" s="17"/>
      <c r="E5" s="143"/>
      <c r="F5" s="18" t="s">
        <v>43</v>
      </c>
      <c r="G5" s="128" t="s">
        <v>6</v>
      </c>
      <c r="H5" s="129"/>
      <c r="I5" s="129"/>
      <c r="J5" s="129"/>
      <c r="K5" s="129"/>
      <c r="L5" s="60"/>
      <c r="M5" s="19"/>
    </row>
    <row r="6" spans="1:13" ht="30" customHeight="1">
      <c r="A6" s="153" t="s">
        <v>8</v>
      </c>
      <c r="B6" s="109"/>
      <c r="C6" s="88"/>
      <c r="D6" s="20"/>
      <c r="E6" s="144"/>
      <c r="F6" s="18" t="s">
        <v>44</v>
      </c>
      <c r="G6" s="128" t="s">
        <v>9</v>
      </c>
      <c r="H6" s="130"/>
      <c r="I6" s="130"/>
      <c r="J6" s="130"/>
      <c r="K6" s="130"/>
      <c r="L6" s="60"/>
      <c r="M6" s="19"/>
    </row>
    <row r="7" spans="1:13" ht="30" customHeight="1">
      <c r="A7" s="151" t="s">
        <v>10</v>
      </c>
      <c r="B7" s="154" t="str">
        <f>NUMBERSTRING(B8,1)&amp;"원정"</f>
        <v>일백오십사만삼천삼백원정</v>
      </c>
      <c r="C7" s="155"/>
      <c r="D7" s="21"/>
      <c r="E7" s="143"/>
      <c r="F7" s="18" t="s">
        <v>45</v>
      </c>
      <c r="G7" s="131" t="s">
        <v>11</v>
      </c>
      <c r="H7" s="132"/>
      <c r="I7" s="22" t="s">
        <v>12</v>
      </c>
      <c r="J7" s="131" t="s">
        <v>13</v>
      </c>
      <c r="K7" s="129"/>
      <c r="L7" s="60"/>
      <c r="M7" s="23"/>
    </row>
    <row r="8" spans="1:13" ht="30" customHeight="1">
      <c r="A8" s="152"/>
      <c r="B8" s="133">
        <f>J12</f>
        <v>1543300</v>
      </c>
      <c r="C8" s="88"/>
      <c r="D8" s="24"/>
      <c r="E8" s="145"/>
      <c r="F8" s="25" t="s">
        <v>7</v>
      </c>
      <c r="G8" s="66" t="s">
        <v>15</v>
      </c>
      <c r="H8" s="134"/>
      <c r="I8" s="134"/>
      <c r="J8" s="134"/>
      <c r="K8" s="134"/>
      <c r="L8" s="67"/>
      <c r="M8" s="26"/>
    </row>
    <row r="9" spans="1:13" ht="17.25">
      <c r="A9" s="27"/>
      <c r="B9" s="27"/>
      <c r="C9" s="27"/>
      <c r="D9" s="27"/>
      <c r="E9" s="28"/>
      <c r="F9" s="29"/>
      <c r="G9" s="30"/>
      <c r="H9" s="30"/>
      <c r="I9" s="30"/>
      <c r="J9" s="30"/>
      <c r="K9" s="30"/>
      <c r="L9" s="11"/>
      <c r="M9" s="4"/>
    </row>
    <row r="10" spans="1:13" ht="18.75" customHeight="1">
      <c r="A10" s="116" t="s">
        <v>16</v>
      </c>
      <c r="B10" s="105" t="s">
        <v>17</v>
      </c>
      <c r="C10" s="106"/>
      <c r="D10" s="107"/>
      <c r="E10" s="110" t="s">
        <v>18</v>
      </c>
      <c r="F10" s="112" t="s">
        <v>14</v>
      </c>
      <c r="G10" s="106"/>
      <c r="H10" s="107"/>
      <c r="I10" s="113" t="s">
        <v>19</v>
      </c>
      <c r="J10" s="114">
        <v>230</v>
      </c>
      <c r="K10" s="106"/>
      <c r="L10" s="115"/>
      <c r="M10" s="31"/>
    </row>
    <row r="11" spans="1:13" ht="18.75" customHeight="1">
      <c r="A11" s="97"/>
      <c r="B11" s="108"/>
      <c r="C11" s="109"/>
      <c r="D11" s="86"/>
      <c r="E11" s="111"/>
      <c r="F11" s="108"/>
      <c r="G11" s="109"/>
      <c r="H11" s="86"/>
      <c r="I11" s="111"/>
      <c r="J11" s="108"/>
      <c r="K11" s="109"/>
      <c r="L11" s="78"/>
      <c r="M11" s="31"/>
    </row>
    <row r="12" spans="1:13" ht="18.75" customHeight="1">
      <c r="A12" s="117" t="s">
        <v>20</v>
      </c>
      <c r="B12" s="72" t="str">
        <f>A5</f>
        <v>한국조세재정연구원</v>
      </c>
      <c r="C12" s="53"/>
      <c r="D12" s="54"/>
      <c r="E12" s="122" t="s">
        <v>21</v>
      </c>
      <c r="F12" s="124">
        <v>30</v>
      </c>
      <c r="G12" s="53"/>
      <c r="H12" s="54"/>
      <c r="I12" s="125" t="s">
        <v>22</v>
      </c>
      <c r="J12" s="126">
        <f>I33</f>
        <v>1543300</v>
      </c>
      <c r="K12" s="53"/>
      <c r="L12" s="102"/>
      <c r="M12" s="32"/>
    </row>
    <row r="13" spans="1:13" ht="18.75" customHeight="1">
      <c r="A13" s="118"/>
      <c r="B13" s="119"/>
      <c r="C13" s="120"/>
      <c r="D13" s="121"/>
      <c r="E13" s="123"/>
      <c r="F13" s="119"/>
      <c r="G13" s="120"/>
      <c r="H13" s="121"/>
      <c r="I13" s="123"/>
      <c r="J13" s="119"/>
      <c r="K13" s="120"/>
      <c r="L13" s="127"/>
      <c r="M13" s="32"/>
    </row>
    <row r="14" spans="1:13" ht="16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11"/>
      <c r="M14" s="4"/>
    </row>
    <row r="15" spans="1:13" ht="30" customHeight="1">
      <c r="A15" s="34" t="s">
        <v>23</v>
      </c>
      <c r="B15" s="90" t="s">
        <v>24</v>
      </c>
      <c r="C15" s="91"/>
      <c r="D15" s="90" t="s">
        <v>25</v>
      </c>
      <c r="E15" s="92"/>
      <c r="F15" s="92"/>
      <c r="G15" s="92"/>
      <c r="H15" s="91"/>
      <c r="I15" s="93" t="s">
        <v>26</v>
      </c>
      <c r="J15" s="91"/>
      <c r="K15" s="90" t="s">
        <v>27</v>
      </c>
      <c r="L15" s="94"/>
      <c r="M15" s="19"/>
    </row>
    <row r="16" spans="1:13" ht="26.25" customHeight="1">
      <c r="A16" s="95" t="s">
        <v>28</v>
      </c>
      <c r="B16" s="35" t="s">
        <v>29</v>
      </c>
      <c r="C16" s="36"/>
      <c r="D16" s="37">
        <v>15370</v>
      </c>
      <c r="E16" s="87">
        <f>IF(F12&gt;50,F12-50,0)</f>
        <v>0</v>
      </c>
      <c r="F16" s="88"/>
      <c r="G16" s="38">
        <v>18</v>
      </c>
      <c r="H16" s="39" t="s">
        <v>30</v>
      </c>
      <c r="I16" s="85">
        <f>(D16+((E16/10)*183))*G16*80%</f>
        <v>221328</v>
      </c>
      <c r="J16" s="86"/>
      <c r="K16" s="98" t="s">
        <v>31</v>
      </c>
      <c r="L16" s="78"/>
      <c r="M16" s="19"/>
    </row>
    <row r="17" spans="1:13" ht="26.25" customHeight="1">
      <c r="A17" s="96"/>
      <c r="B17" s="40" t="s">
        <v>32</v>
      </c>
      <c r="C17" s="41"/>
      <c r="D17" s="89">
        <v>2380</v>
      </c>
      <c r="E17" s="88"/>
      <c r="F17" s="42">
        <f>IF(F12&gt;50,F12-50,0)</f>
        <v>0</v>
      </c>
      <c r="G17" s="43">
        <f>J10</f>
        <v>230</v>
      </c>
      <c r="H17" s="44">
        <v>80</v>
      </c>
      <c r="I17" s="85">
        <f>((8180-D17)+((F17/10)*101))*G17*80%</f>
        <v>1067200</v>
      </c>
      <c r="J17" s="86"/>
      <c r="K17" s="77" t="s">
        <v>33</v>
      </c>
      <c r="L17" s="78"/>
      <c r="M17" s="19"/>
    </row>
    <row r="18" spans="1:13" ht="26.25" customHeight="1">
      <c r="A18" s="97"/>
      <c r="B18" s="40" t="s">
        <v>34</v>
      </c>
      <c r="C18" s="41"/>
      <c r="D18" s="89" t="str">
        <f>CONCATENATE(J10,"P * 500")</f>
        <v>230P * 500</v>
      </c>
      <c r="E18" s="88"/>
      <c r="F18" s="99"/>
      <c r="G18" s="88"/>
      <c r="H18" s="45"/>
      <c r="I18" s="85">
        <f>J10*500</f>
        <v>115000</v>
      </c>
      <c r="J18" s="86"/>
      <c r="K18" s="77"/>
      <c r="L18" s="78"/>
      <c r="M18" s="19"/>
    </row>
    <row r="19" spans="1:13" ht="26.25" customHeight="1">
      <c r="A19" s="46"/>
      <c r="B19" s="40"/>
      <c r="C19" s="41"/>
      <c r="D19" s="104"/>
      <c r="E19" s="88"/>
      <c r="F19" s="99"/>
      <c r="G19" s="88"/>
      <c r="H19" s="45"/>
      <c r="I19" s="85"/>
      <c r="J19" s="86"/>
      <c r="K19" s="77"/>
      <c r="L19" s="78"/>
      <c r="M19" s="19"/>
    </row>
    <row r="20" spans="1:13" ht="26.25" customHeight="1">
      <c r="A20" s="46"/>
      <c r="B20" s="40"/>
      <c r="C20" s="41"/>
      <c r="D20" s="104"/>
      <c r="E20" s="88"/>
      <c r="F20" s="99"/>
      <c r="G20" s="88"/>
      <c r="H20" s="45"/>
      <c r="I20" s="85"/>
      <c r="J20" s="86"/>
      <c r="K20" s="77"/>
      <c r="L20" s="78"/>
      <c r="M20" s="19"/>
    </row>
    <row r="21" spans="1:13" ht="26.25" customHeight="1">
      <c r="A21" s="46"/>
      <c r="B21" s="40"/>
      <c r="C21" s="41"/>
      <c r="D21" s="104"/>
      <c r="E21" s="88"/>
      <c r="F21" s="99"/>
      <c r="G21" s="88"/>
      <c r="H21" s="45"/>
      <c r="I21" s="85"/>
      <c r="J21" s="86"/>
      <c r="K21" s="77"/>
      <c r="L21" s="78"/>
      <c r="M21" s="19"/>
    </row>
    <row r="22" spans="1:13" ht="26.25" customHeight="1">
      <c r="A22" s="46"/>
      <c r="B22" s="40"/>
      <c r="C22" s="41"/>
      <c r="D22" s="104"/>
      <c r="E22" s="88"/>
      <c r="F22" s="99"/>
      <c r="G22" s="88"/>
      <c r="H22" s="45"/>
      <c r="I22" s="85"/>
      <c r="J22" s="86"/>
      <c r="K22" s="77"/>
      <c r="L22" s="78"/>
      <c r="M22" s="19"/>
    </row>
    <row r="23" spans="1:13" ht="26.25" customHeight="1">
      <c r="A23" s="46"/>
      <c r="B23" s="40"/>
      <c r="C23" s="41"/>
      <c r="D23" s="104"/>
      <c r="E23" s="88"/>
      <c r="F23" s="99"/>
      <c r="G23" s="88"/>
      <c r="H23" s="45"/>
      <c r="I23" s="85"/>
      <c r="J23" s="86"/>
      <c r="K23" s="77"/>
      <c r="L23" s="78"/>
      <c r="M23" s="19"/>
    </row>
    <row r="24" spans="1:13" ht="26.25" customHeight="1">
      <c r="A24" s="46"/>
      <c r="B24" s="40"/>
      <c r="C24" s="41"/>
      <c r="D24" s="104"/>
      <c r="E24" s="88"/>
      <c r="F24" s="99"/>
      <c r="G24" s="88"/>
      <c r="H24" s="45"/>
      <c r="I24" s="85"/>
      <c r="J24" s="86"/>
      <c r="K24" s="77"/>
      <c r="L24" s="78"/>
      <c r="M24" s="19"/>
    </row>
    <row r="25" spans="1:13" ht="26.25" customHeight="1">
      <c r="A25" s="46"/>
      <c r="B25" s="40"/>
      <c r="C25" s="41"/>
      <c r="D25" s="104"/>
      <c r="E25" s="88"/>
      <c r="F25" s="99"/>
      <c r="G25" s="88"/>
      <c r="H25" s="45"/>
      <c r="I25" s="85"/>
      <c r="J25" s="86"/>
      <c r="K25" s="77"/>
      <c r="L25" s="78"/>
      <c r="M25" s="19"/>
    </row>
    <row r="26" spans="1:13" ht="26.25" customHeight="1">
      <c r="A26" s="46"/>
      <c r="B26" s="40"/>
      <c r="C26" s="41"/>
      <c r="D26" s="104"/>
      <c r="E26" s="88"/>
      <c r="F26" s="99"/>
      <c r="G26" s="88"/>
      <c r="H26" s="45"/>
      <c r="I26" s="85"/>
      <c r="J26" s="86"/>
      <c r="K26" s="77"/>
      <c r="L26" s="78"/>
      <c r="M26" s="19"/>
    </row>
    <row r="27" spans="1:13" ht="26.25" customHeight="1">
      <c r="A27" s="46"/>
      <c r="B27" s="40"/>
      <c r="C27" s="41"/>
      <c r="D27" s="104"/>
      <c r="E27" s="88"/>
      <c r="F27" s="99"/>
      <c r="G27" s="88"/>
      <c r="H27" s="45"/>
      <c r="I27" s="85"/>
      <c r="J27" s="86"/>
      <c r="K27" s="77"/>
      <c r="L27" s="78"/>
      <c r="M27" s="19"/>
    </row>
    <row r="28" spans="1:13" ht="26.25" customHeight="1">
      <c r="A28" s="68" t="s">
        <v>35</v>
      </c>
      <c r="B28" s="56"/>
      <c r="C28" s="57"/>
      <c r="D28" s="55"/>
      <c r="E28" s="56"/>
      <c r="F28" s="56"/>
      <c r="G28" s="56"/>
      <c r="H28" s="57"/>
      <c r="I28" s="79">
        <f>SUM(I16:J27)</f>
        <v>1403528</v>
      </c>
      <c r="J28" s="57"/>
      <c r="K28" s="103"/>
      <c r="L28" s="60"/>
      <c r="M28" s="47"/>
    </row>
    <row r="29" spans="1:13" ht="26.25" customHeight="1">
      <c r="A29" s="69" t="s">
        <v>36</v>
      </c>
      <c r="B29" s="56"/>
      <c r="C29" s="57"/>
      <c r="D29" s="70">
        <v>1</v>
      </c>
      <c r="E29" s="56"/>
      <c r="F29" s="56"/>
      <c r="G29" s="56"/>
      <c r="H29" s="57"/>
      <c r="I29" s="80">
        <f>ROUND(I28*D29,0)</f>
        <v>1403528</v>
      </c>
      <c r="J29" s="57"/>
      <c r="K29" s="100"/>
      <c r="L29" s="60"/>
      <c r="M29" s="48"/>
    </row>
    <row r="30" spans="1:13" ht="26.25" customHeight="1">
      <c r="A30" s="71" t="s">
        <v>37</v>
      </c>
      <c r="B30" s="53"/>
      <c r="C30" s="54"/>
      <c r="D30" s="72"/>
      <c r="E30" s="53"/>
      <c r="F30" s="53"/>
      <c r="G30" s="53"/>
      <c r="H30" s="54"/>
      <c r="I30" s="81">
        <f>VALUE(RIGHT(I29,3))</f>
        <v>528</v>
      </c>
      <c r="J30" s="54"/>
      <c r="K30" s="101"/>
      <c r="L30" s="102"/>
      <c r="M30" s="48"/>
    </row>
    <row r="31" spans="1:13" ht="26.25" customHeight="1">
      <c r="A31" s="73" t="s">
        <v>38</v>
      </c>
      <c r="B31" s="74"/>
      <c r="C31" s="75"/>
      <c r="D31" s="76"/>
      <c r="E31" s="74"/>
      <c r="F31" s="74"/>
      <c r="G31" s="74"/>
      <c r="H31" s="75"/>
      <c r="I31" s="82">
        <f>I29-I30</f>
        <v>1403000</v>
      </c>
      <c r="J31" s="75"/>
      <c r="K31" s="83"/>
      <c r="L31" s="84"/>
      <c r="M31" s="49"/>
    </row>
    <row r="32" spans="1:13" ht="26.25" customHeight="1">
      <c r="A32" s="52" t="s">
        <v>39</v>
      </c>
      <c r="B32" s="53"/>
      <c r="C32" s="54"/>
      <c r="D32" s="55"/>
      <c r="E32" s="56"/>
      <c r="F32" s="56"/>
      <c r="G32" s="56"/>
      <c r="H32" s="57"/>
      <c r="I32" s="58">
        <f>I31*0.1</f>
        <v>140300</v>
      </c>
      <c r="J32" s="57"/>
      <c r="K32" s="59"/>
      <c r="L32" s="60"/>
      <c r="M32" s="50"/>
    </row>
    <row r="33" spans="1:13" ht="26.25" customHeight="1">
      <c r="A33" s="61" t="s">
        <v>40</v>
      </c>
      <c r="B33" s="62"/>
      <c r="C33" s="63"/>
      <c r="D33" s="64"/>
      <c r="E33" s="62"/>
      <c r="F33" s="62"/>
      <c r="G33" s="62"/>
      <c r="H33" s="63"/>
      <c r="I33" s="65">
        <f>I31+I32</f>
        <v>1543300</v>
      </c>
      <c r="J33" s="63"/>
      <c r="K33" s="66"/>
      <c r="L33" s="67"/>
      <c r="M33" s="23"/>
    </row>
    <row r="34" spans="1:13" ht="13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3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3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3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3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3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3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3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3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3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3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3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3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3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3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3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3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3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3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3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3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3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3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3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3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3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3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3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3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3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3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3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3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3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3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3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3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3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3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3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3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3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3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3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3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3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3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3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3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3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3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3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3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3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3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3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3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3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3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3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3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3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3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3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3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3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3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3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3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3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3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3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3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3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3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3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3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3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3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3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3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3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3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3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3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3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3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3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3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3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3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3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3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3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3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3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3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3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3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3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3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3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3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3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3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3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3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3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3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3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3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3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3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3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3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3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3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3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3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3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3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3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3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3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3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3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3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3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3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3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3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3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3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3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3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3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3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3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3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3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3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3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3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3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3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3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3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3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3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3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3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3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3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3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3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3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3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3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3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3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3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3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3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3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3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3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3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3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3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3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3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3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3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3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3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3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3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3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3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3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3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3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3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3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3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3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3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3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3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3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3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3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3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3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3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3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3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3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3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3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3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3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3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3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3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3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3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3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3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3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3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3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3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3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3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3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3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3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3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3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3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3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3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3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3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3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3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3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3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3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3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3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3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3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3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3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3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3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3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3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3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3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3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3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3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3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3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3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3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3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3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3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3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3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3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3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3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3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3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3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3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3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3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3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3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3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3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3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3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3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3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3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3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3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3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3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3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3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3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3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3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3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3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3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3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3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3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3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3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3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3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3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3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3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3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3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3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3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3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3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3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3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3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3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3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3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3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3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3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3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3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3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3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3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3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3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3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3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3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3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3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3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3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3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3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3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3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3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3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3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3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3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3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3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3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3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3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3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3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3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3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3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3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3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3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3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3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3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3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3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3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3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3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3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3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3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3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3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3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3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3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3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3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3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3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3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3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3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3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3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3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3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3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3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3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3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3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3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3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3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3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3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3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3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3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3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3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3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3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3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3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3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3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3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3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3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3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3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3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3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3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3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3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3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3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3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3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3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3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3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3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3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3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3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3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3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3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3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3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3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3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3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3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3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3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3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3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3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3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3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3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3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3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3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3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3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3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3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3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3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3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3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3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3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3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3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3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3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3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3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3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3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3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3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3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3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3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3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3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3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3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3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3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3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3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3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3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3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3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3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3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3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3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3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3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3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3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3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3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3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3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3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3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3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3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3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3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3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3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3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3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3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3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3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3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3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3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3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3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3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3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3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3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3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3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3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3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3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3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3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3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3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3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3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3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3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3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3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3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3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3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3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3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3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3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3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3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3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3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3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3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3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3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3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3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3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3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3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3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3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3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3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3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3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3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3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3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3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3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3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3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3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3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3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3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3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3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3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3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3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3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3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3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3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3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3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3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3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3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3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3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3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3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3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3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3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3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3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3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3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3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3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3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3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3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3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3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3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3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3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3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3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3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3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3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3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3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3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3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3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3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3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3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3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3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3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3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3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3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3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3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3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3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3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3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3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3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3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3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3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3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3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3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3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3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3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3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3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3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3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3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3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3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3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3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3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3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3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3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3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3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3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3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3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3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3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3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3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3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3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3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3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3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3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3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3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3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3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3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3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3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3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3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3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3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3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3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3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3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3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3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3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3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3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3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3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3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3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3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3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3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3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3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3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3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3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3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3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3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3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3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3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3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3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3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3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3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3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3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3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3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3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3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3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3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3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3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3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3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3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3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3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3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3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3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3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3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3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3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3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3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3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3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3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3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3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3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3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3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3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3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3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3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3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3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3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3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3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3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3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3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3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3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3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3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3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3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3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3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3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3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3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</sheetData>
  <mergeCells count="102">
    <mergeCell ref="D1:H2"/>
    <mergeCell ref="B4:C4"/>
    <mergeCell ref="E4:E8"/>
    <mergeCell ref="G4:H4"/>
    <mergeCell ref="J4:L4"/>
    <mergeCell ref="A5:B5"/>
    <mergeCell ref="A7:A8"/>
    <mergeCell ref="A6:C6"/>
    <mergeCell ref="B7:C7"/>
    <mergeCell ref="A10:A11"/>
    <mergeCell ref="A12:A13"/>
    <mergeCell ref="B12:D13"/>
    <mergeCell ref="E12:E13"/>
    <mergeCell ref="F12:H13"/>
    <mergeCell ref="I12:I13"/>
    <mergeCell ref="J12:L13"/>
    <mergeCell ref="G5:L5"/>
    <mergeCell ref="G6:L6"/>
    <mergeCell ref="G7:H7"/>
    <mergeCell ref="J7:L7"/>
    <mergeCell ref="B8:C8"/>
    <mergeCell ref="G8:L8"/>
    <mergeCell ref="D19:E19"/>
    <mergeCell ref="F19:G19"/>
    <mergeCell ref="D20:E20"/>
    <mergeCell ref="F20:G20"/>
    <mergeCell ref="F21:G21"/>
    <mergeCell ref="I19:J19"/>
    <mergeCell ref="K19:L19"/>
    <mergeCell ref="I20:J20"/>
    <mergeCell ref="B10:D11"/>
    <mergeCell ref="E10:E11"/>
    <mergeCell ref="F10:H11"/>
    <mergeCell ref="I10:I11"/>
    <mergeCell ref="J10:L11"/>
    <mergeCell ref="F22:G22"/>
    <mergeCell ref="F23:G23"/>
    <mergeCell ref="F24:G24"/>
    <mergeCell ref="F25:G25"/>
    <mergeCell ref="F26:G26"/>
    <mergeCell ref="F27:G27"/>
    <mergeCell ref="D28:H28"/>
    <mergeCell ref="D21:E21"/>
    <mergeCell ref="D22:E22"/>
    <mergeCell ref="D23:E23"/>
    <mergeCell ref="D24:E24"/>
    <mergeCell ref="D25:E25"/>
    <mergeCell ref="D26:E26"/>
    <mergeCell ref="D27:E27"/>
    <mergeCell ref="E16:F16"/>
    <mergeCell ref="D17:E17"/>
    <mergeCell ref="B15:C15"/>
    <mergeCell ref="D15:H15"/>
    <mergeCell ref="I15:J15"/>
    <mergeCell ref="K15:L15"/>
    <mergeCell ref="A16:A18"/>
    <mergeCell ref="I16:J16"/>
    <mergeCell ref="K16:L16"/>
    <mergeCell ref="D18:E18"/>
    <mergeCell ref="F18:G18"/>
    <mergeCell ref="I18:J18"/>
    <mergeCell ref="K18:L18"/>
    <mergeCell ref="I17:J17"/>
    <mergeCell ref="K17:L17"/>
    <mergeCell ref="K20:L20"/>
    <mergeCell ref="K21:L21"/>
    <mergeCell ref="I28:J28"/>
    <mergeCell ref="I29:J29"/>
    <mergeCell ref="I30:J30"/>
    <mergeCell ref="I31:J31"/>
    <mergeCell ref="K31:L31"/>
    <mergeCell ref="I21:J21"/>
    <mergeCell ref="I22:J22"/>
    <mergeCell ref="I23:J23"/>
    <mergeCell ref="I24:J24"/>
    <mergeCell ref="I25:J25"/>
    <mergeCell ref="I26:J26"/>
    <mergeCell ref="I27:J27"/>
    <mergeCell ref="K29:L29"/>
    <mergeCell ref="K30:L30"/>
    <mergeCell ref="K22:L22"/>
    <mergeCell ref="K23:L23"/>
    <mergeCell ref="K24:L24"/>
    <mergeCell ref="K25:L25"/>
    <mergeCell ref="K26:L26"/>
    <mergeCell ref="K27:L27"/>
    <mergeCell ref="K28:L28"/>
    <mergeCell ref="A32:C32"/>
    <mergeCell ref="D32:H32"/>
    <mergeCell ref="I32:J32"/>
    <mergeCell ref="K32:L32"/>
    <mergeCell ref="A33:C33"/>
    <mergeCell ref="D33:H33"/>
    <mergeCell ref="I33:J33"/>
    <mergeCell ref="K33:L33"/>
    <mergeCell ref="A28:C28"/>
    <mergeCell ref="A29:C29"/>
    <mergeCell ref="D29:H29"/>
    <mergeCell ref="A30:C30"/>
    <mergeCell ref="D30:H30"/>
    <mergeCell ref="A31:C31"/>
    <mergeCell ref="D31:H31"/>
  </mergeCells>
  <phoneticPr fontId="15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dcterms:created xsi:type="dcterms:W3CDTF">2026-07-28T01:59:38Z</dcterms:created>
  <dcterms:modified xsi:type="dcterms:W3CDTF">2026-07-28T02:39:11Z</dcterms:modified>
</cp:coreProperties>
</file>